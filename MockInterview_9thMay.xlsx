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0" yWindow="80" windowWidth="19140" windowHeight="7340"/>
  </bookViews>
  <sheets>
    <sheet name="Mock_New_File" sheetId="2" r:id="rId1"/>
    <sheet name="Sheet1" sheetId="1" r:id="rId2"/>
    <sheet name="Sheet3" sheetId="3" r:id="rId3"/>
    <sheet name="Sheet4" sheetId="4" r:id="rId4"/>
    <sheet name="Sheet2" sheetId="5" r:id="rId5"/>
    <sheet name="Sheet5" sheetId="6" r:id="rId6"/>
  </sheets>
  <definedNames>
    <definedName name="_xlnm._FilterDatabase" localSheetId="0" hidden="1">Mock_New_File!$A$1:$O$516</definedName>
  </definedNames>
  <calcPr calcId="144525"/>
</workbook>
</file>

<file path=xl/calcChain.xml><?xml version="1.0" encoding="utf-8"?>
<calcChain xmlns="http://schemas.openxmlformats.org/spreadsheetml/2006/main">
  <c r="E522" i="2" l="1"/>
  <c r="L522" i="2"/>
  <c r="I522" i="2"/>
  <c r="I524" i="2"/>
  <c r="K522" i="2"/>
  <c r="J522" i="2"/>
  <c r="H522" i="2"/>
  <c r="H524" i="2"/>
  <c r="G524" i="2"/>
  <c r="F524" i="2"/>
  <c r="E524" i="2"/>
  <c r="L524" i="2"/>
  <c r="K524" i="2"/>
  <c r="J524" i="2"/>
  <c r="N524" i="2" l="1"/>
  <c r="E518" i="2"/>
  <c r="I518" i="2"/>
  <c r="L518" i="2"/>
  <c r="K518" i="2"/>
  <c r="J518" i="2"/>
  <c r="H518" i="2"/>
  <c r="G520" i="2"/>
  <c r="F520" i="2"/>
  <c r="E520" i="2"/>
  <c r="L520" i="2"/>
  <c r="K520" i="2"/>
  <c r="J520" i="2"/>
  <c r="I520" i="2"/>
  <c r="H520" i="2"/>
  <c r="N520" i="2" l="1"/>
  <c r="E514" i="2"/>
  <c r="L514" i="2"/>
  <c r="I514" i="2"/>
  <c r="H514" i="2"/>
  <c r="H516" i="2"/>
  <c r="J516" i="2"/>
  <c r="I516" i="2"/>
  <c r="G516" i="2"/>
  <c r="F516" i="2"/>
  <c r="E516" i="2"/>
  <c r="L516" i="2"/>
  <c r="K514" i="2"/>
  <c r="K516" i="2" s="1"/>
  <c r="J514" i="2"/>
  <c r="L510" i="2"/>
  <c r="I510" i="2"/>
  <c r="K510" i="2"/>
  <c r="J510" i="2"/>
  <c r="J512" i="2" s="1"/>
  <c r="H510" i="2"/>
  <c r="H512" i="2" s="1"/>
  <c r="I512" i="2"/>
  <c r="K512" i="2"/>
  <c r="F512" i="2"/>
  <c r="E512" i="2"/>
  <c r="L512" i="2"/>
  <c r="G510" i="2"/>
  <c r="G512" i="2" s="1"/>
  <c r="N516" i="2" l="1"/>
  <c r="N512" i="2"/>
  <c r="L506" i="2"/>
  <c r="K506" i="2"/>
  <c r="J506" i="2"/>
  <c r="I506" i="2"/>
  <c r="H506" i="2"/>
  <c r="G508" i="2"/>
  <c r="F508" i="2"/>
  <c r="E508" i="2"/>
  <c r="L508" i="2"/>
  <c r="K508" i="2"/>
  <c r="J508" i="2"/>
  <c r="I508" i="2"/>
  <c r="H508" i="2"/>
  <c r="E506" i="2"/>
  <c r="N508" i="2" l="1"/>
  <c r="E498" i="2"/>
  <c r="E502" i="2"/>
  <c r="I502" i="2"/>
  <c r="L502" i="2"/>
  <c r="H502" i="2"/>
  <c r="K502" i="2"/>
  <c r="J502" i="2"/>
  <c r="H504" i="2"/>
  <c r="G504" i="2"/>
  <c r="F504" i="2"/>
  <c r="E504" i="2"/>
  <c r="L504" i="2"/>
  <c r="K504" i="2"/>
  <c r="J504" i="2"/>
  <c r="I504" i="2"/>
  <c r="L498" i="2"/>
  <c r="I498" i="2"/>
  <c r="H498" i="2"/>
  <c r="K498" i="2"/>
  <c r="J498" i="2"/>
  <c r="G500" i="2"/>
  <c r="F500" i="2"/>
  <c r="E500" i="2"/>
  <c r="L500" i="2"/>
  <c r="K500" i="2"/>
  <c r="J500" i="2"/>
  <c r="I500" i="2"/>
  <c r="H500" i="2"/>
  <c r="N504" i="2" l="1"/>
  <c r="N500" i="2"/>
  <c r="E490" i="2"/>
  <c r="E494" i="2"/>
  <c r="L494" i="2"/>
  <c r="I494" i="2"/>
  <c r="H494" i="2"/>
  <c r="K494" i="2"/>
  <c r="K496" i="2" s="1"/>
  <c r="J494" i="2"/>
  <c r="I496" i="2"/>
  <c r="G496" i="2"/>
  <c r="F496" i="2"/>
  <c r="E496" i="2"/>
  <c r="L496" i="2"/>
  <c r="J496" i="2"/>
  <c r="H496" i="2"/>
  <c r="I490" i="2"/>
  <c r="N496" i="2" l="1"/>
  <c r="L490" i="2" l="1"/>
  <c r="L492" i="2"/>
  <c r="H490" i="2"/>
  <c r="H492" i="2" s="1"/>
  <c r="K490" i="2"/>
  <c r="J490" i="2"/>
  <c r="K492" i="2"/>
  <c r="J492" i="2"/>
  <c r="G492" i="2"/>
  <c r="F492" i="2"/>
  <c r="E492" i="2"/>
  <c r="I492" i="2"/>
  <c r="N492" i="2" l="1"/>
  <c r="I486" i="2"/>
  <c r="L486" i="2"/>
  <c r="K486" i="2"/>
  <c r="J486" i="2"/>
  <c r="H486" i="2"/>
  <c r="I488" i="2"/>
  <c r="H488" i="2"/>
  <c r="G488" i="2"/>
  <c r="F488" i="2"/>
  <c r="E488" i="2"/>
  <c r="L488" i="2"/>
  <c r="K488" i="2"/>
  <c r="J488" i="2"/>
  <c r="E486" i="2"/>
  <c r="N488" i="2" l="1"/>
  <c r="E482" i="2"/>
  <c r="L482" i="2"/>
  <c r="I482" i="2"/>
  <c r="K482" i="2"/>
  <c r="J482" i="2"/>
  <c r="J484" i="2" s="1"/>
  <c r="H482" i="2"/>
  <c r="H484" i="2"/>
  <c r="G484" i="2"/>
  <c r="F484" i="2"/>
  <c r="L484" i="2"/>
  <c r="K484" i="2"/>
  <c r="I484" i="2"/>
  <c r="E484" i="2"/>
  <c r="N484" i="2" l="1"/>
  <c r="E478" i="2"/>
  <c r="K470" i="2"/>
  <c r="K472" i="2" s="1"/>
  <c r="J470" i="2"/>
  <c r="H470" i="2"/>
  <c r="I478" i="2"/>
  <c r="L478" i="2"/>
  <c r="K478" i="2"/>
  <c r="J478" i="2"/>
  <c r="J480" i="2"/>
  <c r="H478" i="2"/>
  <c r="G480" i="2"/>
  <c r="F480" i="2"/>
  <c r="E480" i="2"/>
  <c r="L480" i="2"/>
  <c r="K480" i="2"/>
  <c r="I480" i="2"/>
  <c r="H480" i="2"/>
  <c r="E474" i="2"/>
  <c r="I474" i="2"/>
  <c r="I476" i="2"/>
  <c r="L474" i="2"/>
  <c r="K474" i="2"/>
  <c r="J474" i="2"/>
  <c r="J476" i="2"/>
  <c r="H474" i="2"/>
  <c r="H476" i="2" s="1"/>
  <c r="E476" i="2"/>
  <c r="G476" i="2"/>
  <c r="F476" i="2"/>
  <c r="L476" i="2"/>
  <c r="K476" i="2"/>
  <c r="H472" i="2"/>
  <c r="G472" i="2"/>
  <c r="F472" i="2"/>
  <c r="E472" i="2"/>
  <c r="L470" i="2"/>
  <c r="L472" i="2" s="1"/>
  <c r="J472" i="2"/>
  <c r="I470" i="2"/>
  <c r="I472" i="2" s="1"/>
  <c r="E470" i="2"/>
  <c r="H466" i="2"/>
  <c r="H468" i="2" s="1"/>
  <c r="E466" i="2"/>
  <c r="I466" i="2"/>
  <c r="L466" i="2"/>
  <c r="K466" i="2"/>
  <c r="J466" i="2"/>
  <c r="J468" i="2"/>
  <c r="G468" i="2"/>
  <c r="F468" i="2"/>
  <c r="E468" i="2"/>
  <c r="L468" i="2"/>
  <c r="K468" i="2"/>
  <c r="I468" i="2"/>
  <c r="N480" i="2" l="1"/>
  <c r="N476" i="2"/>
  <c r="N472" i="2"/>
  <c r="N468" i="2"/>
  <c r="E462" i="2"/>
  <c r="L462" i="2"/>
  <c r="I462" i="2"/>
  <c r="H462" i="2"/>
  <c r="H464" i="2" s="1"/>
  <c r="K462" i="2"/>
  <c r="K464" i="2" s="1"/>
  <c r="J462" i="2"/>
  <c r="G464" i="2"/>
  <c r="F464" i="2"/>
  <c r="E464" i="2"/>
  <c r="L464" i="2"/>
  <c r="J464" i="2"/>
  <c r="I464" i="2"/>
  <c r="N464" i="2" l="1"/>
  <c r="H458" i="2"/>
  <c r="I458" i="2"/>
  <c r="E458" i="2"/>
  <c r="E460" i="2" s="1"/>
  <c r="L458" i="2"/>
  <c r="L460" i="2" s="1"/>
  <c r="K458" i="2"/>
  <c r="K460" i="2" s="1"/>
  <c r="J458" i="2"/>
  <c r="J460" i="2"/>
  <c r="G460" i="2"/>
  <c r="F460" i="2"/>
  <c r="I460" i="2"/>
  <c r="H460" i="2"/>
  <c r="N460" i="2" l="1"/>
  <c r="E454" i="2"/>
  <c r="I454" i="2"/>
  <c r="L454" i="2"/>
  <c r="K454" i="2"/>
  <c r="J454" i="2"/>
  <c r="H454" i="2"/>
  <c r="I456" i="2"/>
  <c r="H456" i="2"/>
  <c r="G456" i="2"/>
  <c r="F456" i="2"/>
  <c r="E456" i="2"/>
  <c r="L456" i="2"/>
  <c r="K456" i="2"/>
  <c r="J456" i="2"/>
  <c r="N456" i="2" l="1"/>
  <c r="E452" i="2"/>
  <c r="E450" i="2" l="1"/>
  <c r="I450" i="2"/>
  <c r="L450" i="2"/>
  <c r="K450" i="2"/>
  <c r="J450" i="2"/>
  <c r="H450" i="2"/>
  <c r="G452" i="2"/>
  <c r="F452" i="2"/>
  <c r="L452" i="2"/>
  <c r="K452" i="2"/>
  <c r="J452" i="2"/>
  <c r="I452" i="2"/>
  <c r="H452" i="2"/>
  <c r="N452" i="2" l="1"/>
  <c r="E446" i="2"/>
  <c r="E448" i="2"/>
  <c r="L446" i="2"/>
  <c r="K446" i="2"/>
  <c r="J446" i="2"/>
  <c r="H446" i="2"/>
  <c r="H448" i="2"/>
  <c r="G448" i="2"/>
  <c r="F448" i="2"/>
  <c r="L448" i="2"/>
  <c r="K448" i="2"/>
  <c r="J448" i="2"/>
  <c r="I446" i="2"/>
  <c r="I448" i="2" s="1"/>
  <c r="N448" i="2" l="1"/>
  <c r="I442" i="2"/>
  <c r="E442" i="2"/>
  <c r="I444" i="2"/>
  <c r="L442" i="2"/>
  <c r="K442" i="2"/>
  <c r="J442" i="2"/>
  <c r="J444" i="2" s="1"/>
  <c r="H442" i="2"/>
  <c r="E444" i="2"/>
  <c r="G444" i="2"/>
  <c r="F444" i="2"/>
  <c r="L444" i="2"/>
  <c r="K444" i="2"/>
  <c r="H444" i="2"/>
  <c r="E438" i="2"/>
  <c r="I438" i="2"/>
  <c r="I440" i="2" s="1"/>
  <c r="L438" i="2"/>
  <c r="L440" i="2"/>
  <c r="K438" i="2"/>
  <c r="K440" i="2" s="1"/>
  <c r="J438" i="2"/>
  <c r="H438" i="2"/>
  <c r="G440" i="2"/>
  <c r="F440" i="2"/>
  <c r="J440" i="2"/>
  <c r="H440" i="2"/>
  <c r="E440" i="2"/>
  <c r="N444" i="2" l="1"/>
  <c r="N440" i="2"/>
  <c r="H434" i="2"/>
  <c r="I434" i="2"/>
  <c r="E434" i="2"/>
  <c r="G436" i="2"/>
  <c r="F436" i="2"/>
  <c r="E436" i="2"/>
  <c r="L434" i="2"/>
  <c r="L436" i="2" s="1"/>
  <c r="K434" i="2"/>
  <c r="K436" i="2" s="1"/>
  <c r="J434" i="2"/>
  <c r="J436" i="2" s="1"/>
  <c r="I436" i="2"/>
  <c r="H436" i="2"/>
  <c r="N436" i="2" l="1"/>
  <c r="E430" i="2"/>
  <c r="I430" i="2"/>
  <c r="I432" i="2" s="1"/>
  <c r="L430" i="2"/>
  <c r="K430" i="2"/>
  <c r="J430" i="2"/>
  <c r="H430" i="2"/>
  <c r="K432" i="2"/>
  <c r="J432" i="2"/>
  <c r="G432" i="2"/>
  <c r="F432" i="2"/>
  <c r="E432" i="2"/>
  <c r="L432" i="2"/>
  <c r="H432" i="2"/>
  <c r="N432" i="2" l="1"/>
  <c r="E426" i="2"/>
  <c r="I426" i="2"/>
  <c r="L426" i="2"/>
  <c r="K426" i="2"/>
  <c r="K428" i="2" s="1"/>
  <c r="J426" i="2"/>
  <c r="H426" i="2"/>
  <c r="H428" i="2"/>
  <c r="G428" i="2"/>
  <c r="F428" i="2"/>
  <c r="E428" i="2"/>
  <c r="L428" i="2"/>
  <c r="J428" i="2"/>
  <c r="I428" i="2"/>
  <c r="E422" i="2"/>
  <c r="E424" i="2" s="1"/>
  <c r="I422" i="2"/>
  <c r="L422" i="2"/>
  <c r="K422" i="2"/>
  <c r="J422" i="2"/>
  <c r="H422" i="2"/>
  <c r="H424" i="2"/>
  <c r="G424" i="2"/>
  <c r="F424" i="2"/>
  <c r="L424" i="2"/>
  <c r="K424" i="2"/>
  <c r="J424" i="2"/>
  <c r="I424" i="2"/>
  <c r="N428" i="2" l="1"/>
  <c r="N424" i="2"/>
  <c r="E418" i="2"/>
  <c r="E420" i="2" s="1"/>
  <c r="I418" i="2"/>
  <c r="L418" i="2"/>
  <c r="L420" i="2" s="1"/>
  <c r="K418" i="2"/>
  <c r="K420" i="2"/>
  <c r="J418" i="2"/>
  <c r="H418" i="2"/>
  <c r="J420" i="2"/>
  <c r="H420" i="2"/>
  <c r="G420" i="2"/>
  <c r="F420" i="2"/>
  <c r="I420" i="2"/>
  <c r="I414" i="2"/>
  <c r="L414" i="2"/>
  <c r="K414" i="2"/>
  <c r="K416" i="2"/>
  <c r="J414" i="2"/>
  <c r="J416" i="2"/>
  <c r="H414" i="2"/>
  <c r="E414" i="2"/>
  <c r="H416" i="2"/>
  <c r="G416" i="2"/>
  <c r="F416" i="2"/>
  <c r="E416" i="2"/>
  <c r="L416" i="2"/>
  <c r="I416" i="2"/>
  <c r="N420" i="2" l="1"/>
  <c r="N416" i="2"/>
  <c r="E410" i="2"/>
  <c r="E412" i="2" s="1"/>
  <c r="I410" i="2"/>
  <c r="I412" i="2"/>
  <c r="L410" i="2"/>
  <c r="L412" i="2"/>
  <c r="K410" i="2"/>
  <c r="J410" i="2"/>
  <c r="J412" i="2" s="1"/>
  <c r="H410" i="2"/>
  <c r="H412" i="2"/>
  <c r="G412" i="2"/>
  <c r="F412" i="2"/>
  <c r="K412" i="2"/>
  <c r="E406" i="2"/>
  <c r="E408" i="2" s="1"/>
  <c r="I406" i="2"/>
  <c r="I408" i="2"/>
  <c r="L406" i="2"/>
  <c r="K406" i="2"/>
  <c r="J406" i="2"/>
  <c r="H406" i="2"/>
  <c r="H408" i="2" s="1"/>
  <c r="G408" i="2"/>
  <c r="F408" i="2"/>
  <c r="L408" i="2"/>
  <c r="K408" i="2"/>
  <c r="J408" i="2"/>
  <c r="N412" i="2" l="1"/>
  <c r="N408" i="2"/>
  <c r="E402" i="2" l="1"/>
  <c r="E404" i="2" s="1"/>
  <c r="I402" i="2"/>
  <c r="I404" i="2" s="1"/>
  <c r="L402" i="2"/>
  <c r="K402" i="2"/>
  <c r="J402" i="2"/>
  <c r="H402" i="2"/>
  <c r="J404" i="2"/>
  <c r="G404" i="2"/>
  <c r="F404" i="2"/>
  <c r="L404" i="2"/>
  <c r="K404" i="2"/>
  <c r="H404" i="2"/>
  <c r="N404" i="2" l="1"/>
  <c r="H398" i="2"/>
  <c r="I398" i="2"/>
  <c r="E398" i="2"/>
  <c r="E400" i="2" s="1"/>
  <c r="L398" i="2"/>
  <c r="K398" i="2"/>
  <c r="J398" i="2"/>
  <c r="H400" i="2"/>
  <c r="G400" i="2"/>
  <c r="F400" i="2"/>
  <c r="L400" i="2"/>
  <c r="K400" i="2"/>
  <c r="J400" i="2"/>
  <c r="I400" i="2"/>
  <c r="N400" i="2" l="1"/>
  <c r="E394" i="2"/>
  <c r="I394" i="2"/>
  <c r="I396" i="2" s="1"/>
  <c r="L394" i="2"/>
  <c r="K394" i="2"/>
  <c r="J394" i="2"/>
  <c r="H394" i="2"/>
  <c r="H396" i="2"/>
  <c r="F396" i="2"/>
  <c r="E396" i="2"/>
  <c r="L396" i="2"/>
  <c r="K396" i="2"/>
  <c r="J396" i="2"/>
  <c r="G396" i="2"/>
  <c r="N396" i="2" l="1"/>
  <c r="I390" i="2"/>
  <c r="L390" i="2"/>
  <c r="K390" i="2"/>
  <c r="K392" i="2"/>
  <c r="J390" i="2"/>
  <c r="H390" i="2"/>
  <c r="H392" i="2"/>
  <c r="F388" i="2"/>
  <c r="I392" i="2"/>
  <c r="F392" i="2"/>
  <c r="E392" i="2"/>
  <c r="L392" i="2"/>
  <c r="J392" i="2"/>
  <c r="G390" i="2"/>
  <c r="G392" i="2" s="1"/>
  <c r="E390" i="2"/>
  <c r="I386" i="2"/>
  <c r="I388" i="2" s="1"/>
  <c r="L386" i="2"/>
  <c r="L388" i="2" s="1"/>
  <c r="K386" i="2"/>
  <c r="K388" i="2" s="1"/>
  <c r="J386" i="2"/>
  <c r="J388" i="2" s="1"/>
  <c r="H386" i="2"/>
  <c r="H388" i="2" s="1"/>
  <c r="E386" i="2"/>
  <c r="E388" i="2"/>
  <c r="G386" i="2"/>
  <c r="G388" i="2" s="1"/>
  <c r="N392" i="2" l="1"/>
  <c r="N388" i="2"/>
  <c r="E382" i="2"/>
  <c r="I382" i="2" l="1"/>
  <c r="L382" i="2"/>
  <c r="L384" i="2" s="1"/>
  <c r="K382" i="2"/>
  <c r="J382" i="2"/>
  <c r="J384" i="2" s="1"/>
  <c r="H382" i="2"/>
  <c r="H384" i="2"/>
  <c r="I384" i="2"/>
  <c r="G384" i="2"/>
  <c r="F384" i="2"/>
  <c r="E384" i="2"/>
  <c r="K384" i="2"/>
  <c r="N384" i="2" l="1"/>
  <c r="I378" i="2"/>
  <c r="E378" i="2"/>
  <c r="I380" i="2"/>
  <c r="L378" i="2"/>
  <c r="K378" i="2"/>
  <c r="K380" i="2" s="1"/>
  <c r="J378" i="2"/>
  <c r="E380" i="2"/>
  <c r="G380" i="2"/>
  <c r="F380" i="2"/>
  <c r="L380" i="2"/>
  <c r="J380" i="2"/>
  <c r="H378" i="2"/>
  <c r="H380" i="2" s="1"/>
  <c r="E374" i="2"/>
  <c r="I374" i="2"/>
  <c r="L374" i="2"/>
  <c r="K374" i="2"/>
  <c r="J374" i="2"/>
  <c r="H374" i="2"/>
  <c r="K376" i="2"/>
  <c r="G376" i="2"/>
  <c r="F376" i="2"/>
  <c r="L376" i="2"/>
  <c r="J376" i="2"/>
  <c r="I376" i="2"/>
  <c r="H376" i="2"/>
  <c r="E376" i="2"/>
  <c r="N380" i="2" l="1"/>
  <c r="N376" i="2"/>
  <c r="L370" i="2"/>
  <c r="E370" i="2"/>
  <c r="I370" i="2"/>
  <c r="I372" i="2" s="1"/>
  <c r="K370" i="2"/>
  <c r="J370" i="2"/>
  <c r="H370" i="2"/>
  <c r="E372" i="2"/>
  <c r="G372" i="2"/>
  <c r="F372" i="2"/>
  <c r="L372" i="2"/>
  <c r="K372" i="2"/>
  <c r="J372" i="2"/>
  <c r="H372" i="2"/>
  <c r="E366" i="2"/>
  <c r="I366" i="2"/>
  <c r="I368" i="2" s="1"/>
  <c r="L366" i="2"/>
  <c r="L368" i="2"/>
  <c r="J366" i="2"/>
  <c r="K366" i="2"/>
  <c r="J368" i="2"/>
  <c r="H366" i="2"/>
  <c r="H368" i="2" s="1"/>
  <c r="G368" i="2"/>
  <c r="F368" i="2"/>
  <c r="E368" i="2"/>
  <c r="K368" i="2"/>
  <c r="I362" i="2"/>
  <c r="I364" i="2" s="1"/>
  <c r="E362" i="2"/>
  <c r="E364" i="2" s="1"/>
  <c r="L362" i="2"/>
  <c r="L364" i="2" s="1"/>
  <c r="K362" i="2"/>
  <c r="J362" i="2"/>
  <c r="H362" i="2"/>
  <c r="G364" i="2"/>
  <c r="F364" i="2"/>
  <c r="K364" i="2"/>
  <c r="J364" i="2"/>
  <c r="H364" i="2"/>
  <c r="N372" i="2" l="1"/>
  <c r="N368" i="2"/>
  <c r="N364" i="2"/>
  <c r="E358" i="2"/>
  <c r="E360" i="2" s="1"/>
  <c r="J358" i="2"/>
  <c r="J360" i="2" s="1"/>
  <c r="I358" i="2"/>
  <c r="L358" i="2"/>
  <c r="K358" i="2"/>
  <c r="H358" i="2"/>
  <c r="H360" i="2" s="1"/>
  <c r="G360" i="2"/>
  <c r="F360" i="2"/>
  <c r="L360" i="2"/>
  <c r="K360" i="2"/>
  <c r="I360" i="2"/>
  <c r="I354" i="2"/>
  <c r="I356" i="2" s="1"/>
  <c r="H354" i="2"/>
  <c r="H356" i="2" s="1"/>
  <c r="E354" i="2"/>
  <c r="L354" i="2"/>
  <c r="K354" i="2"/>
  <c r="J354" i="2"/>
  <c r="G356" i="2"/>
  <c r="F356" i="2"/>
  <c r="E356" i="2"/>
  <c r="L356" i="2"/>
  <c r="K356" i="2"/>
  <c r="J356" i="2"/>
  <c r="N360" i="2" l="1"/>
  <c r="N356" i="2"/>
  <c r="I350" i="2"/>
  <c r="E350" i="2"/>
  <c r="E352" i="2" s="1"/>
  <c r="I352" i="2"/>
  <c r="L350" i="2"/>
  <c r="H350" i="2"/>
  <c r="H352" i="2" s="1"/>
  <c r="K350" i="2"/>
  <c r="K352" i="2" s="1"/>
  <c r="J350" i="2"/>
  <c r="F352" i="2"/>
  <c r="L352" i="2"/>
  <c r="J352" i="2"/>
  <c r="G352" i="2"/>
  <c r="I346" i="2"/>
  <c r="L346" i="2"/>
  <c r="E346" i="2"/>
  <c r="E348" i="2" s="1"/>
  <c r="L348" i="2"/>
  <c r="K346" i="2"/>
  <c r="J346" i="2"/>
  <c r="H346" i="2"/>
  <c r="F348" i="2"/>
  <c r="K348" i="2"/>
  <c r="J348" i="2"/>
  <c r="I348" i="2"/>
  <c r="H348" i="2"/>
  <c r="G346" i="2"/>
  <c r="G348" i="2" s="1"/>
  <c r="E342" i="2"/>
  <c r="G342" i="2"/>
  <c r="G344" i="2" s="1"/>
  <c r="I342" i="2"/>
  <c r="L342" i="2"/>
  <c r="L344" i="2"/>
  <c r="K342" i="2"/>
  <c r="K344" i="2" s="1"/>
  <c r="J342" i="2"/>
  <c r="J344" i="2" s="1"/>
  <c r="H342" i="2"/>
  <c r="H344" i="2" s="1"/>
  <c r="F344" i="2"/>
  <c r="E344" i="2"/>
  <c r="I344" i="2"/>
  <c r="N352" i="2" l="1"/>
  <c r="N348" i="2"/>
  <c r="N344" i="2"/>
  <c r="L338" i="2"/>
  <c r="I338" i="2"/>
  <c r="I340" i="2"/>
  <c r="K338" i="2"/>
  <c r="H338" i="2"/>
  <c r="G340" i="2"/>
  <c r="F340" i="2"/>
  <c r="E340" i="2"/>
  <c r="L340" i="2"/>
  <c r="K340" i="2"/>
  <c r="J338" i="2"/>
  <c r="J340" i="2" s="1"/>
  <c r="H340" i="2"/>
  <c r="G338" i="2"/>
  <c r="N340" i="2" l="1"/>
  <c r="G330" i="2"/>
  <c r="L330" i="2"/>
  <c r="I330" i="2"/>
  <c r="K330" i="2"/>
  <c r="J330" i="2"/>
  <c r="J332" i="2" s="1"/>
  <c r="H330" i="2"/>
  <c r="K332" i="2"/>
  <c r="H332" i="2"/>
  <c r="G332" i="2"/>
  <c r="F332" i="2"/>
  <c r="E332" i="2"/>
  <c r="L332" i="2"/>
  <c r="I332" i="2"/>
  <c r="N332" i="2" l="1"/>
  <c r="L326" i="2"/>
  <c r="I326" i="2"/>
  <c r="H326" i="2"/>
  <c r="J326" i="2"/>
  <c r="J328" i="2" l="1"/>
  <c r="I328" i="2"/>
  <c r="H328" i="2"/>
  <c r="G328" i="2"/>
  <c r="F328" i="2"/>
  <c r="E328" i="2"/>
  <c r="L328" i="2"/>
  <c r="K328" i="2"/>
  <c r="N328" i="2" l="1"/>
  <c r="L322" i="2"/>
  <c r="I322" i="2"/>
  <c r="K322" i="2"/>
  <c r="J322" i="2"/>
  <c r="H322" i="2"/>
  <c r="I324" i="2" l="1"/>
  <c r="J324" i="2"/>
  <c r="H324" i="2"/>
  <c r="G324" i="2"/>
  <c r="F324" i="2"/>
  <c r="E324" i="2"/>
  <c r="L324" i="2"/>
  <c r="K324" i="2"/>
  <c r="L318" i="2"/>
  <c r="I318" i="2"/>
  <c r="K318" i="2"/>
  <c r="H318" i="2"/>
  <c r="J318" i="2"/>
  <c r="N324" i="2" l="1"/>
  <c r="L320" i="2"/>
  <c r="K320" i="2"/>
  <c r="J320" i="2"/>
  <c r="I320" i="2"/>
  <c r="G320" i="2"/>
  <c r="F320" i="2"/>
  <c r="E320" i="2"/>
  <c r="N320" i="2" s="1"/>
  <c r="H320" i="2"/>
  <c r="L314" i="2" l="1"/>
  <c r="I314" i="2"/>
  <c r="I316" i="2"/>
  <c r="K314" i="2"/>
  <c r="K316" i="2" s="1"/>
  <c r="J314" i="2"/>
  <c r="J316" i="2"/>
  <c r="H314" i="2"/>
  <c r="E316" i="2"/>
  <c r="N316" i="2" s="1"/>
  <c r="G316" i="2"/>
  <c r="F316" i="2"/>
  <c r="L316" i="2"/>
  <c r="H316" i="2"/>
  <c r="I310" i="2" l="1"/>
  <c r="I312" i="2" s="1"/>
  <c r="L310" i="2"/>
  <c r="L312" i="2" s="1"/>
  <c r="K310" i="2"/>
  <c r="K312" i="2" s="1"/>
  <c r="J310" i="2"/>
  <c r="J312" i="2" s="1"/>
  <c r="H310" i="2"/>
  <c r="H312" i="2" s="1"/>
  <c r="E312" i="2"/>
  <c r="G312" i="2"/>
  <c r="F312" i="2"/>
  <c r="L306" i="2"/>
  <c r="L308" i="2" s="1"/>
  <c r="I306" i="2"/>
  <c r="I308" i="2" s="1"/>
  <c r="J306" i="2"/>
  <c r="J308" i="2" s="1"/>
  <c r="H306" i="2"/>
  <c r="H308" i="2" s="1"/>
  <c r="E308" i="2"/>
  <c r="G308" i="2"/>
  <c r="F308" i="2"/>
  <c r="K306" i="2"/>
  <c r="K308" i="2" s="1"/>
  <c r="L302" i="2"/>
  <c r="I302" i="2"/>
  <c r="I304" i="2" s="1"/>
  <c r="K302" i="2"/>
  <c r="K304" i="2" s="1"/>
  <c r="J302" i="2"/>
  <c r="J304" i="2" s="1"/>
  <c r="H302" i="2"/>
  <c r="H304" i="2" s="1"/>
  <c r="E304" i="2"/>
  <c r="G304" i="2"/>
  <c r="F304" i="2"/>
  <c r="L304" i="2"/>
  <c r="N312" i="2" l="1"/>
  <c r="N308" i="2"/>
  <c r="N304" i="2"/>
  <c r="I298" i="2"/>
  <c r="I300" i="2" s="1"/>
  <c r="J298" i="2"/>
  <c r="J300" i="2" s="1"/>
  <c r="L298" i="2"/>
  <c r="L300" i="2" s="1"/>
  <c r="K298" i="2"/>
  <c r="K300" i="2" s="1"/>
  <c r="H298" i="2"/>
  <c r="H300" i="2" s="1"/>
  <c r="E300" i="2"/>
  <c r="G300" i="2"/>
  <c r="F300" i="2"/>
  <c r="H294" i="2"/>
  <c r="H296" i="2"/>
  <c r="G294" i="2"/>
  <c r="G296" i="2" s="1"/>
  <c r="L294" i="2"/>
  <c r="L296" i="2" s="1"/>
  <c r="I294" i="2"/>
  <c r="I296" i="2" s="1"/>
  <c r="K294" i="2"/>
  <c r="K296" i="2" s="1"/>
  <c r="J294" i="2"/>
  <c r="J296" i="2" s="1"/>
  <c r="E296" i="2"/>
  <c r="F296" i="2"/>
  <c r="N300" i="2" l="1"/>
  <c r="N296" i="2"/>
  <c r="J290" i="2"/>
  <c r="F292" i="2"/>
  <c r="E292" i="2"/>
  <c r="J292" i="2"/>
  <c r="J286" i="2"/>
  <c r="F4" i="2"/>
  <c r="F8" i="2"/>
  <c r="F12" i="2"/>
  <c r="F16" i="2"/>
  <c r="F20" i="2"/>
  <c r="F24" i="2"/>
  <c r="F28" i="2"/>
  <c r="F32" i="2"/>
  <c r="F34" i="2"/>
  <c r="F36" i="2" s="1"/>
  <c r="F40" i="2"/>
  <c r="F44" i="2"/>
  <c r="F48" i="2"/>
  <c r="F52" i="2"/>
  <c r="F56" i="2"/>
  <c r="F60" i="2"/>
  <c r="F64" i="2"/>
  <c r="F68" i="2"/>
  <c r="F72" i="2"/>
  <c r="F76" i="2"/>
  <c r="F80" i="2"/>
  <c r="F84" i="2"/>
  <c r="F88" i="2"/>
  <c r="F92" i="2"/>
  <c r="F96" i="2"/>
  <c r="F100" i="2"/>
  <c r="F104" i="2"/>
  <c r="F108" i="2"/>
  <c r="F112" i="2"/>
  <c r="F114" i="2"/>
  <c r="F116" i="2" s="1"/>
  <c r="F118" i="2"/>
  <c r="F120" i="2" s="1"/>
  <c r="F122" i="2"/>
  <c r="F124" i="2" s="1"/>
  <c r="F126" i="2"/>
  <c r="F128" i="2" s="1"/>
  <c r="F130" i="2"/>
  <c r="F132" i="2" s="1"/>
  <c r="F134" i="2"/>
  <c r="F136" i="2" s="1"/>
  <c r="F138" i="2"/>
  <c r="F140" i="2" s="1"/>
  <c r="F144" i="2"/>
  <c r="F146" i="2"/>
  <c r="F148" i="2" s="1"/>
  <c r="F150" i="2"/>
  <c r="F152" i="2" s="1"/>
  <c r="F154" i="2"/>
  <c r="F156" i="2" s="1"/>
  <c r="F158" i="2"/>
  <c r="F160" i="2" s="1"/>
  <c r="F162" i="2"/>
  <c r="F164" i="2" s="1"/>
  <c r="F166" i="2"/>
  <c r="F168" i="2" s="1"/>
  <c r="F170" i="2"/>
  <c r="F172" i="2" s="1"/>
  <c r="F174" i="2"/>
  <c r="F176" i="2" s="1"/>
  <c r="F178" i="2"/>
  <c r="F180" i="2"/>
  <c r="F182" i="2"/>
  <c r="F184" i="2" s="1"/>
  <c r="F186" i="2"/>
  <c r="F188" i="2" s="1"/>
  <c r="F190" i="2"/>
  <c r="F192" i="2" s="1"/>
  <c r="F194" i="2"/>
  <c r="F196" i="2" s="1"/>
  <c r="F198" i="2"/>
  <c r="F200" i="2" s="1"/>
  <c r="F202" i="2"/>
  <c r="F204" i="2" s="1"/>
  <c r="F206" i="2"/>
  <c r="F208" i="2" s="1"/>
  <c r="F210" i="2"/>
  <c r="F212" i="2" s="1"/>
  <c r="F214" i="2"/>
  <c r="F216" i="2" s="1"/>
  <c r="F218" i="2"/>
  <c r="F220" i="2" s="1"/>
  <c r="F222" i="2"/>
  <c r="F224" i="2" s="1"/>
  <c r="F226" i="2"/>
  <c r="F228" i="2" s="1"/>
  <c r="F230" i="2"/>
  <c r="F232" i="2" s="1"/>
  <c r="F234" i="2"/>
  <c r="F236" i="2" s="1"/>
  <c r="F238" i="2"/>
  <c r="F240" i="2" s="1"/>
  <c r="F244" i="2"/>
  <c r="F248" i="2"/>
  <c r="F252" i="2"/>
  <c r="F256" i="2"/>
  <c r="F260" i="2"/>
  <c r="F264" i="2"/>
  <c r="F268" i="2"/>
  <c r="F272" i="2"/>
  <c r="F276" i="2"/>
  <c r="F280" i="2"/>
  <c r="F284" i="2"/>
  <c r="F288" i="2"/>
  <c r="I290" i="2"/>
  <c r="I292" i="2" s="1"/>
  <c r="G290" i="2"/>
  <c r="G292" i="2" s="1"/>
  <c r="L290" i="2" l="1"/>
  <c r="L292" i="2" s="1"/>
  <c r="H290" i="2"/>
  <c r="H292" i="2" s="1"/>
  <c r="K290" i="2"/>
  <c r="K292" i="2" s="1"/>
  <c r="N292" i="2" l="1"/>
  <c r="K286" i="2"/>
  <c r="K288" i="2" s="1"/>
  <c r="J288" i="2"/>
  <c r="H286" i="2"/>
  <c r="H288" i="2" s="1"/>
  <c r="E288" i="2"/>
  <c r="L286" i="2"/>
  <c r="L288" i="2" s="1"/>
  <c r="G286" i="2"/>
  <c r="G288" i="2" s="1"/>
  <c r="I286" i="2"/>
  <c r="I288" i="2" s="1"/>
  <c r="N288" i="2" l="1"/>
  <c r="L282" i="2"/>
  <c r="L284" i="2" s="1"/>
  <c r="K282" i="2"/>
  <c r="K284" i="2" s="1"/>
  <c r="J282" i="2"/>
  <c r="J284" i="2" s="1"/>
  <c r="H282" i="2"/>
  <c r="H284" i="2" s="1"/>
  <c r="E284" i="2"/>
  <c r="G282" i="2"/>
  <c r="G284" i="2" s="1"/>
  <c r="I282" i="2"/>
  <c r="I284" i="2" s="1"/>
  <c r="N284" i="2" l="1"/>
  <c r="K278" i="2"/>
  <c r="K280" i="2" s="1"/>
  <c r="J278" i="2"/>
  <c r="J280" i="2" s="1"/>
  <c r="H278" i="2"/>
  <c r="H280" i="2" s="1"/>
  <c r="E280" i="2"/>
  <c r="L278" i="2"/>
  <c r="L280" i="2" s="1"/>
  <c r="G278" i="2"/>
  <c r="G280" i="2" s="1"/>
  <c r="I278" i="2"/>
  <c r="I280" i="2" s="1"/>
  <c r="N280" i="2" l="1"/>
  <c r="J274" i="2"/>
  <c r="J276" i="2" s="1"/>
  <c r="H274" i="2"/>
  <c r="H276" i="2" s="1"/>
  <c r="I274" i="2"/>
  <c r="I276" i="2" s="1"/>
  <c r="E276" i="2"/>
  <c r="L274" i="2"/>
  <c r="L276" i="2" s="1"/>
  <c r="G274" i="2"/>
  <c r="G276" i="2" s="1"/>
  <c r="K274" i="2"/>
  <c r="K276" i="2" s="1"/>
  <c r="K270" i="2"/>
  <c r="K272" i="2" s="1"/>
  <c r="J270" i="2"/>
  <c r="J272" i="2" s="1"/>
  <c r="H270" i="2"/>
  <c r="H272" i="2" s="1"/>
  <c r="E272" i="2"/>
  <c r="L270" i="2"/>
  <c r="L272" i="2" s="1"/>
  <c r="G270" i="2"/>
  <c r="G272" i="2" s="1"/>
  <c r="I270" i="2"/>
  <c r="I272" i="2" s="1"/>
  <c r="L266" i="2"/>
  <c r="L268" i="2" s="1"/>
  <c r="H266" i="2"/>
  <c r="H268" i="2" s="1"/>
  <c r="J266" i="2"/>
  <c r="J268" i="2" s="1"/>
  <c r="E268" i="2"/>
  <c r="G266" i="2"/>
  <c r="G268" i="2" s="1"/>
  <c r="I266" i="2"/>
  <c r="I268" i="2" s="1"/>
  <c r="K266" i="2"/>
  <c r="K268" i="2" s="1"/>
  <c r="N276" i="2" l="1"/>
  <c r="N272" i="2"/>
  <c r="N268" i="2"/>
  <c r="E264" i="2"/>
  <c r="L262" i="2"/>
  <c r="L264" i="2" s="1"/>
  <c r="G262" i="2"/>
  <c r="G264" i="2" s="1"/>
  <c r="I262" i="2"/>
  <c r="I264" i="2" s="1"/>
  <c r="H262" i="2"/>
  <c r="H264" i="2" s="1"/>
  <c r="K262" i="2"/>
  <c r="K264" i="2" s="1"/>
  <c r="J262" i="2"/>
  <c r="J264" i="2" s="1"/>
  <c r="J258" i="2"/>
  <c r="K258" i="2"/>
  <c r="N264" i="2" l="1"/>
  <c r="K260" i="2" l="1"/>
  <c r="H258" i="2"/>
  <c r="H260" i="2" s="1"/>
  <c r="E260" i="2"/>
  <c r="J260" i="2"/>
  <c r="L258" i="2"/>
  <c r="L260" i="2" s="1"/>
  <c r="G258" i="2"/>
  <c r="G260" i="2" s="1"/>
  <c r="I258" i="2"/>
  <c r="I260" i="2" s="1"/>
  <c r="N260" i="2" l="1"/>
  <c r="I254" i="2"/>
  <c r="I256" i="2" s="1"/>
  <c r="L254" i="2"/>
  <c r="L256" i="2" s="1"/>
  <c r="K254" i="2"/>
  <c r="K256" i="2" s="1"/>
  <c r="J254" i="2"/>
  <c r="J256" i="2" s="1"/>
  <c r="H254" i="2"/>
  <c r="H256" i="2" s="1"/>
  <c r="E256" i="2"/>
  <c r="G254" i="2"/>
  <c r="G256" i="2" s="1"/>
  <c r="N256" i="2" l="1"/>
  <c r="L250" i="2"/>
  <c r="L252" i="2" s="1"/>
  <c r="G250" i="2"/>
  <c r="G252" i="2" s="1"/>
  <c r="I250" i="2"/>
  <c r="I252" i="2" s="1"/>
  <c r="H250" i="2"/>
  <c r="H252" i="2" s="1"/>
  <c r="K250" i="2"/>
  <c r="K252" i="2" s="1"/>
  <c r="J250" i="2"/>
  <c r="J252" i="2"/>
  <c r="E252" i="2"/>
  <c r="N252" i="2" l="1"/>
  <c r="L246" i="2"/>
  <c r="G246" i="2"/>
  <c r="I246" i="2"/>
  <c r="K246" i="2"/>
  <c r="J246" i="2"/>
  <c r="H246" i="2"/>
  <c r="E248" i="2" l="1"/>
  <c r="L248" i="2"/>
  <c r="G248" i="2"/>
  <c r="I248" i="2"/>
  <c r="H248" i="2"/>
  <c r="K248" i="2"/>
  <c r="J248" i="2"/>
  <c r="N248" i="2" l="1"/>
  <c r="G242" i="2"/>
  <c r="L242" i="2"/>
  <c r="L244" i="2" s="1"/>
  <c r="J242" i="2"/>
  <c r="I242" i="2"/>
  <c r="I244" i="2" s="1"/>
  <c r="K242" i="2"/>
  <c r="K244" i="2" s="1"/>
  <c r="J244" i="2"/>
  <c r="J238" i="2"/>
  <c r="J240" i="2" s="1"/>
  <c r="K238" i="2"/>
  <c r="K240" i="2" s="1"/>
  <c r="I238" i="2"/>
  <c r="I240" i="2" s="1"/>
  <c r="L238" i="2"/>
  <c r="L240" i="2" s="1"/>
  <c r="H238" i="2"/>
  <c r="H240" i="2" s="1"/>
  <c r="H242" i="2"/>
  <c r="H244" i="2" s="1"/>
  <c r="E244" i="2"/>
  <c r="G244" i="2"/>
  <c r="E240" i="2"/>
  <c r="G238" i="2"/>
  <c r="G240" i="2" s="1"/>
  <c r="N244" i="2" l="1"/>
  <c r="N240" i="2"/>
  <c r="L234" i="2"/>
  <c r="L236" i="2" s="1"/>
  <c r="I234" i="2"/>
  <c r="I236" i="2"/>
  <c r="K234" i="2"/>
  <c r="K236" i="2" s="1"/>
  <c r="J234" i="2"/>
  <c r="J236" i="2" s="1"/>
  <c r="H234" i="2"/>
  <c r="H236" i="2" s="1"/>
  <c r="E236" i="2"/>
  <c r="G234" i="2"/>
  <c r="G236" i="2" s="1"/>
  <c r="N236" i="2" l="1"/>
  <c r="L230" i="2"/>
  <c r="L232" i="2" s="1"/>
  <c r="I230" i="2"/>
  <c r="I232" i="2" s="1"/>
  <c r="K230" i="2"/>
  <c r="K232" i="2" s="1"/>
  <c r="J230" i="2"/>
  <c r="J232" i="2" s="1"/>
  <c r="H230" i="2"/>
  <c r="H232" i="2" s="1"/>
  <c r="E232" i="2"/>
  <c r="G230" i="2"/>
  <c r="G232" i="2" s="1"/>
  <c r="N232" i="2" l="1"/>
  <c r="L226" i="2"/>
  <c r="L228" i="2" s="1"/>
  <c r="I226" i="2"/>
  <c r="I228" i="2" s="1"/>
  <c r="K226" i="2"/>
  <c r="K228" i="2" s="1"/>
  <c r="J226" i="2"/>
  <c r="J228" i="2" s="1"/>
  <c r="H226" i="2"/>
  <c r="H228" i="2" s="1"/>
  <c r="E228" i="2"/>
  <c r="G226" i="2"/>
  <c r="G228" i="2" s="1"/>
  <c r="N228" i="2" l="1"/>
  <c r="I222" i="2"/>
  <c r="I224" i="2" s="1"/>
  <c r="K222" i="2"/>
  <c r="K224" i="2" s="1"/>
  <c r="J222" i="2"/>
  <c r="H222" i="2"/>
  <c r="H224" i="2" s="1"/>
  <c r="E224" i="2"/>
  <c r="J224" i="2"/>
  <c r="L222" i="2"/>
  <c r="L224" i="2" s="1"/>
  <c r="G222" i="2"/>
  <c r="G224" i="2" s="1"/>
  <c r="N224" i="2" l="1"/>
  <c r="L218" i="2"/>
  <c r="L220" i="2" s="1"/>
  <c r="I218" i="2"/>
  <c r="I220" i="2" s="1"/>
  <c r="J218" i="2"/>
  <c r="J220" i="2" s="1"/>
  <c r="K218" i="2"/>
  <c r="K220" i="2" s="1"/>
  <c r="H218" i="2"/>
  <c r="H220" i="2"/>
  <c r="E220" i="2"/>
  <c r="G218" i="2"/>
  <c r="G220" i="2" s="1"/>
  <c r="N220" i="2" l="1"/>
  <c r="L214" i="2"/>
  <c r="L216" i="2" s="1"/>
  <c r="I214" i="2"/>
  <c r="I216" i="2" s="1"/>
  <c r="J214" i="2"/>
  <c r="J216" i="2" s="1"/>
  <c r="K214" i="2"/>
  <c r="K216" i="2" s="1"/>
  <c r="H214" i="2"/>
  <c r="H216" i="2" s="1"/>
  <c r="E216" i="2"/>
  <c r="G214" i="2"/>
  <c r="G216" i="2" s="1"/>
  <c r="L210" i="2"/>
  <c r="L212" i="2" s="1"/>
  <c r="I210" i="2"/>
  <c r="I212" i="2" s="1"/>
  <c r="J210" i="2"/>
  <c r="J212" i="2" s="1"/>
  <c r="K210" i="2"/>
  <c r="K212" i="2" s="1"/>
  <c r="H210" i="2"/>
  <c r="H212" i="2" s="1"/>
  <c r="E212" i="2"/>
  <c r="G210" i="2"/>
  <c r="G212" i="2" s="1"/>
  <c r="N216" i="2" l="1"/>
  <c r="N212" i="2"/>
  <c r="L206" i="2"/>
  <c r="L208" i="2" s="1"/>
  <c r="I206" i="2"/>
  <c r="I208" i="2" s="1"/>
  <c r="J206" i="2"/>
  <c r="J208" i="2" s="1"/>
  <c r="K206" i="2"/>
  <c r="K208" i="2" s="1"/>
  <c r="H206" i="2"/>
  <c r="H208" i="2" s="1"/>
  <c r="E208" i="2"/>
  <c r="G206" i="2"/>
  <c r="G208" i="2" s="1"/>
  <c r="H202" i="2"/>
  <c r="H204" i="2" s="1"/>
  <c r="L202" i="2"/>
  <c r="L204" i="2" s="1"/>
  <c r="I202" i="2"/>
  <c r="I204" i="2" s="1"/>
  <c r="J202" i="2"/>
  <c r="J204" i="2" s="1"/>
  <c r="K202" i="2"/>
  <c r="K204" i="2" s="1"/>
  <c r="E204" i="2"/>
  <c r="G202" i="2"/>
  <c r="G204" i="2" s="1"/>
  <c r="L198" i="2"/>
  <c r="L200" i="2" s="1"/>
  <c r="K198" i="2"/>
  <c r="J198" i="2"/>
  <c r="J200" i="2" s="1"/>
  <c r="H198" i="2"/>
  <c r="H200" i="2" s="1"/>
  <c r="E200" i="2"/>
  <c r="K200" i="2"/>
  <c r="G198" i="2"/>
  <c r="G200" i="2" s="1"/>
  <c r="I198" i="2"/>
  <c r="I200" i="2" s="1"/>
  <c r="G194" i="2"/>
  <c r="G196" i="2" s="1"/>
  <c r="L194" i="2"/>
  <c r="L196" i="2" s="1"/>
  <c r="I194" i="2"/>
  <c r="I196" i="2" s="1"/>
  <c r="J194" i="2"/>
  <c r="J196" i="2" s="1"/>
  <c r="K194" i="2"/>
  <c r="K196" i="2" s="1"/>
  <c r="H194" i="2"/>
  <c r="H196" i="2" s="1"/>
  <c r="E196" i="2"/>
  <c r="N208" i="2" l="1"/>
  <c r="N204" i="2"/>
  <c r="N200" i="2"/>
  <c r="N196" i="2"/>
  <c r="L190" i="2"/>
  <c r="L192" i="2" s="1"/>
  <c r="G190" i="2"/>
  <c r="G192" i="2" s="1"/>
  <c r="K190" i="2"/>
  <c r="K192" i="2" s="1"/>
  <c r="J190" i="2"/>
  <c r="J192" i="2" s="1"/>
  <c r="H190" i="2"/>
  <c r="H192" i="2" s="1"/>
  <c r="E192" i="2"/>
  <c r="I190" i="2"/>
  <c r="I192" i="2" s="1"/>
  <c r="N192" i="2" l="1"/>
  <c r="J182" i="2"/>
  <c r="J184" i="2" s="1"/>
  <c r="K182" i="2"/>
  <c r="K184" i="2" s="1"/>
  <c r="H182" i="2"/>
  <c r="H184" i="2" s="1"/>
  <c r="L182" i="2"/>
  <c r="L184" i="2" s="1"/>
  <c r="G182" i="2"/>
  <c r="G184" i="2" s="1"/>
  <c r="I182" i="2"/>
  <c r="I184" i="2" s="1"/>
  <c r="I186" i="2"/>
  <c r="I188" i="2" s="1"/>
  <c r="K186" i="2"/>
  <c r="K188" i="2"/>
  <c r="J186" i="2"/>
  <c r="J188" i="2" s="1"/>
  <c r="H186" i="2"/>
  <c r="H188" i="2" s="1"/>
  <c r="E188" i="2"/>
  <c r="L186" i="2"/>
  <c r="L188" i="2" s="1"/>
  <c r="G186" i="2"/>
  <c r="G188" i="2" s="1"/>
  <c r="E184" i="2"/>
  <c r="N184" i="2" l="1"/>
  <c r="N188" i="2"/>
  <c r="H178" i="2"/>
  <c r="H180" i="2" s="1"/>
  <c r="L178" i="2"/>
  <c r="L180" i="2"/>
  <c r="I178" i="2"/>
  <c r="I180" i="2" s="1"/>
  <c r="K178" i="2"/>
  <c r="K180" i="2" s="1"/>
  <c r="J178" i="2"/>
  <c r="J180" i="2" s="1"/>
  <c r="E180" i="2"/>
  <c r="G178" i="2"/>
  <c r="G180" i="2" s="1"/>
  <c r="G174" i="2"/>
  <c r="G176" i="2" s="1"/>
  <c r="L174" i="2"/>
  <c r="L176" i="2" s="1"/>
  <c r="I174" i="2"/>
  <c r="I176" i="2" s="1"/>
  <c r="H174" i="2"/>
  <c r="H176" i="2" s="1"/>
  <c r="J174" i="2"/>
  <c r="J176" i="2" s="1"/>
  <c r="K174" i="2"/>
  <c r="K176" i="2" s="1"/>
  <c r="E176" i="2"/>
  <c r="N180" i="2" l="1"/>
  <c r="N176" i="2"/>
  <c r="H170" i="2"/>
  <c r="H172" i="2" s="1"/>
  <c r="L170" i="2"/>
  <c r="L172" i="2" s="1"/>
  <c r="I170" i="2"/>
  <c r="I172" i="2" s="1"/>
  <c r="J170" i="2"/>
  <c r="J172" i="2" s="1"/>
  <c r="K170" i="2"/>
  <c r="K172" i="2" s="1"/>
  <c r="E172" i="2"/>
  <c r="G170" i="2"/>
  <c r="G172" i="2" s="1"/>
  <c r="L166" i="2"/>
  <c r="L168" i="2" s="1"/>
  <c r="I166" i="2"/>
  <c r="I168" i="2" s="1"/>
  <c r="J166" i="2"/>
  <c r="J168" i="2" s="1"/>
  <c r="K166" i="2"/>
  <c r="K168" i="2" s="1"/>
  <c r="H166" i="2"/>
  <c r="H168" i="2" s="1"/>
  <c r="E168" i="2"/>
  <c r="G166" i="2"/>
  <c r="G168" i="2" s="1"/>
  <c r="L162" i="2"/>
  <c r="L164" i="2" s="1"/>
  <c r="G162" i="2"/>
  <c r="G164" i="2" s="1"/>
  <c r="I162" i="2"/>
  <c r="I164" i="2" s="1"/>
  <c r="J162" i="2"/>
  <c r="J164" i="2" s="1"/>
  <c r="K162" i="2"/>
  <c r="K164" i="2" s="1"/>
  <c r="H162" i="2"/>
  <c r="H164" i="2"/>
  <c r="E164" i="2"/>
  <c r="L158" i="2"/>
  <c r="L160" i="2" s="1"/>
  <c r="H158" i="2"/>
  <c r="H160" i="2" s="1"/>
  <c r="K158" i="2"/>
  <c r="K160" i="2" s="1"/>
  <c r="J158" i="2"/>
  <c r="J160" i="2" s="1"/>
  <c r="I158" i="2"/>
  <c r="I160" i="2" s="1"/>
  <c r="E160" i="2"/>
  <c r="G158" i="2"/>
  <c r="G160" i="2" s="1"/>
  <c r="N172" i="2" l="1"/>
  <c r="N168" i="2"/>
  <c r="N164" i="2"/>
  <c r="N160" i="2"/>
  <c r="G154" i="2"/>
  <c r="G156" i="2" s="1"/>
  <c r="L154" i="2"/>
  <c r="L156" i="2" s="1"/>
  <c r="I154" i="2"/>
  <c r="I156" i="2" s="1"/>
  <c r="K154" i="2"/>
  <c r="K156" i="2" s="1"/>
  <c r="J154" i="2"/>
  <c r="J156" i="2" s="1"/>
  <c r="H154" i="2"/>
  <c r="H156" i="2" s="1"/>
  <c r="E156" i="2"/>
  <c r="G150" i="2"/>
  <c r="G152" i="2" s="1"/>
  <c r="L150" i="2"/>
  <c r="L152" i="2" s="1"/>
  <c r="I150" i="2"/>
  <c r="I152" i="2" s="1"/>
  <c r="J150" i="2"/>
  <c r="J152" i="2" s="1"/>
  <c r="K150" i="2"/>
  <c r="K152" i="2" s="1"/>
  <c r="H150" i="2"/>
  <c r="H152" i="2" s="1"/>
  <c r="G146" i="2"/>
  <c r="G148" i="2" s="1"/>
  <c r="L146" i="2"/>
  <c r="L148" i="2" s="1"/>
  <c r="I146" i="2"/>
  <c r="I148" i="2" s="1"/>
  <c r="J146" i="2"/>
  <c r="J148" i="2" s="1"/>
  <c r="K146" i="2"/>
  <c r="K148" i="2" s="1"/>
  <c r="H146" i="2"/>
  <c r="H148" i="2" s="1"/>
  <c r="E148" i="2"/>
  <c r="E152" i="2"/>
  <c r="G142" i="2"/>
  <c r="G144" i="2"/>
  <c r="L142" i="2"/>
  <c r="L144" i="2" s="1"/>
  <c r="I142" i="2"/>
  <c r="I144" i="2" s="1"/>
  <c r="J142" i="2"/>
  <c r="J144" i="2" s="1"/>
  <c r="K142" i="2"/>
  <c r="K144" i="2" s="1"/>
  <c r="H142" i="2"/>
  <c r="H144" i="2" s="1"/>
  <c r="E144" i="2"/>
  <c r="N156" i="2" l="1"/>
  <c r="N152" i="2"/>
  <c r="N148" i="2"/>
  <c r="N144" i="2"/>
  <c r="G138" i="2"/>
  <c r="G140" i="2" s="1"/>
  <c r="I138" i="2"/>
  <c r="I140" i="2" s="1"/>
  <c r="H138" i="2"/>
  <c r="H140" i="2" s="1"/>
  <c r="L138" i="2"/>
  <c r="L140" i="2" s="1"/>
  <c r="K138" i="2"/>
  <c r="K140" i="2" s="1"/>
  <c r="J138" i="2"/>
  <c r="J140" i="2" s="1"/>
  <c r="E140" i="2"/>
  <c r="N140" i="2" l="1"/>
  <c r="L134" i="2"/>
  <c r="L136" i="2" s="1"/>
  <c r="G134" i="2"/>
  <c r="G136" i="2" s="1"/>
  <c r="I134" i="2"/>
  <c r="I136" i="2" s="1"/>
  <c r="J134" i="2"/>
  <c r="J136" i="2" s="1"/>
  <c r="K134" i="2"/>
  <c r="K136" i="2" s="1"/>
  <c r="H134" i="2"/>
  <c r="H136" i="2" s="1"/>
  <c r="E136" i="2"/>
  <c r="E132" i="2"/>
  <c r="L130" i="2"/>
  <c r="L132" i="2" s="1"/>
  <c r="I130" i="2"/>
  <c r="I132" i="2" s="1"/>
  <c r="J130" i="2"/>
  <c r="J132" i="2" s="1"/>
  <c r="K130" i="2"/>
  <c r="K132" i="2" s="1"/>
  <c r="H130" i="2"/>
  <c r="H132" i="2" s="1"/>
  <c r="N136" i="2" l="1"/>
  <c r="G130" i="2"/>
  <c r="G132" i="2" s="1"/>
  <c r="N132" i="2" l="1"/>
  <c r="J126" i="2"/>
  <c r="H126" i="2"/>
  <c r="H128" i="2" s="1"/>
  <c r="E128" i="2"/>
  <c r="J128" i="2"/>
  <c r="L126" i="2"/>
  <c r="L128" i="2" s="1"/>
  <c r="G126" i="2"/>
  <c r="G128" i="2" s="1"/>
  <c r="I126" i="2"/>
  <c r="I128" i="2" s="1"/>
  <c r="K126" i="2"/>
  <c r="K128" i="2" s="1"/>
  <c r="K122" i="2"/>
  <c r="K124" i="2"/>
  <c r="J122" i="2"/>
  <c r="J124" i="2" s="1"/>
  <c r="H122" i="2"/>
  <c r="H124" i="2" s="1"/>
  <c r="E124" i="2"/>
  <c r="L122" i="2"/>
  <c r="L124" i="2" s="1"/>
  <c r="G122" i="2"/>
  <c r="G124" i="2" s="1"/>
  <c r="I122" i="2"/>
  <c r="I124" i="2" s="1"/>
  <c r="N128" i="2" l="1"/>
  <c r="N124" i="2"/>
  <c r="I118" i="2"/>
  <c r="I120" i="2" s="1"/>
  <c r="K118" i="2"/>
  <c r="K120" i="2" s="1"/>
  <c r="J118" i="2"/>
  <c r="J120" i="2" s="1"/>
  <c r="H118" i="2"/>
  <c r="H120" i="2" s="1"/>
  <c r="E120" i="2"/>
  <c r="L118" i="2"/>
  <c r="L120" i="2" s="1"/>
  <c r="G118" i="2"/>
  <c r="G120" i="2" s="1"/>
  <c r="N120" i="2" l="1"/>
  <c r="L114" i="2"/>
  <c r="L116" i="2" s="1"/>
  <c r="I114" i="2"/>
  <c r="I116" i="2" s="1"/>
  <c r="K114" i="2"/>
  <c r="K116" i="2" s="1"/>
  <c r="J114" i="2"/>
  <c r="J116" i="2"/>
  <c r="H114" i="2"/>
  <c r="H116" i="2" s="1"/>
  <c r="E116" i="2"/>
  <c r="G114" i="2"/>
  <c r="G116" i="2" s="1"/>
  <c r="N116" i="2" l="1"/>
  <c r="L110" i="2"/>
  <c r="L112" i="2" s="1"/>
  <c r="I110" i="2"/>
  <c r="I112" i="2" s="1"/>
  <c r="K110" i="2"/>
  <c r="K112" i="2" s="1"/>
  <c r="H110" i="2"/>
  <c r="H112" i="2" s="1"/>
  <c r="J110" i="2"/>
  <c r="J112" i="2" s="1"/>
  <c r="E112" i="2"/>
  <c r="G110" i="2"/>
  <c r="G112" i="2" s="1"/>
  <c r="H106" i="2"/>
  <c r="K106" i="2"/>
  <c r="K108" i="2" s="1"/>
  <c r="J106" i="2"/>
  <c r="J108" i="2" s="1"/>
  <c r="H108" i="2"/>
  <c r="E108" i="2"/>
  <c r="L106" i="2"/>
  <c r="L108" i="2" s="1"/>
  <c r="G106" i="2"/>
  <c r="G108" i="2" s="1"/>
  <c r="I106" i="2"/>
  <c r="I108" i="2" s="1"/>
  <c r="I102" i="2"/>
  <c r="K102" i="2"/>
  <c r="J102" i="2"/>
  <c r="H102" i="2"/>
  <c r="N112" i="2" l="1"/>
  <c r="N108" i="2"/>
  <c r="K98" i="2"/>
  <c r="J98" i="2"/>
  <c r="J100" i="2" s="1"/>
  <c r="L98" i="2"/>
  <c r="L100" i="2" s="1"/>
  <c r="H98" i="2"/>
  <c r="H100" i="2" s="1"/>
  <c r="G98" i="2"/>
  <c r="G100" i="2" s="1"/>
  <c r="I98" i="2"/>
  <c r="I100" i="2" s="1"/>
  <c r="K100" i="2"/>
  <c r="I94" i="2"/>
  <c r="I96" i="2" s="1"/>
  <c r="K94" i="2"/>
  <c r="K96" i="2"/>
  <c r="J94" i="2"/>
  <c r="J96" i="2" s="1"/>
  <c r="H94" i="2"/>
  <c r="H96" i="2" s="1"/>
  <c r="E104" i="2"/>
  <c r="L102" i="2"/>
  <c r="L104" i="2" s="1"/>
  <c r="G102" i="2"/>
  <c r="G104" i="2" s="1"/>
  <c r="I104" i="2"/>
  <c r="H104" i="2"/>
  <c r="K104" i="2"/>
  <c r="J104" i="2"/>
  <c r="E100" i="2"/>
  <c r="E96" i="2"/>
  <c r="L94" i="2"/>
  <c r="L96" i="2" s="1"/>
  <c r="G94" i="2"/>
  <c r="G96" i="2" s="1"/>
  <c r="N104" i="2" l="1"/>
  <c r="N100" i="2"/>
  <c r="N96" i="2"/>
  <c r="L90" i="2"/>
  <c r="L92" i="2"/>
  <c r="I90" i="2"/>
  <c r="I92" i="2" s="1"/>
  <c r="K90" i="2"/>
  <c r="K92" i="2" s="1"/>
  <c r="J90" i="2"/>
  <c r="J92" i="2" s="1"/>
  <c r="H90" i="2"/>
  <c r="H92" i="2" s="1"/>
  <c r="E92" i="2"/>
  <c r="G90" i="2"/>
  <c r="G92" i="2" s="1"/>
  <c r="L86" i="2"/>
  <c r="L88" i="2" s="1"/>
  <c r="I86" i="2"/>
  <c r="I88" i="2" s="1"/>
  <c r="K86" i="2"/>
  <c r="K88" i="2" s="1"/>
  <c r="J86" i="2"/>
  <c r="J88" i="2" s="1"/>
  <c r="H86" i="2"/>
  <c r="H88" i="2" s="1"/>
  <c r="E88" i="2"/>
  <c r="G86" i="2"/>
  <c r="G88" i="2" s="1"/>
  <c r="N92" i="2" l="1"/>
  <c r="N88" i="2"/>
  <c r="L82" i="2"/>
  <c r="L84" i="2" s="1"/>
  <c r="I82" i="2"/>
  <c r="I84" i="2" s="1"/>
  <c r="K82" i="2"/>
  <c r="K84" i="2"/>
  <c r="H82" i="2"/>
  <c r="H84" i="2" s="1"/>
  <c r="E84" i="2"/>
  <c r="G82" i="2"/>
  <c r="G84" i="2" s="1"/>
  <c r="J82" i="2"/>
  <c r="J84" i="2" s="1"/>
  <c r="L78" i="2"/>
  <c r="L80" i="2" s="1"/>
  <c r="G78" i="2"/>
  <c r="G80" i="2" s="1"/>
  <c r="I78" i="2"/>
  <c r="I80" i="2" s="1"/>
  <c r="K78" i="2"/>
  <c r="K80" i="2" s="1"/>
  <c r="J78" i="2"/>
  <c r="J80" i="2" s="1"/>
  <c r="H78" i="2"/>
  <c r="H80" i="2" s="1"/>
  <c r="E80" i="2"/>
  <c r="N84" i="2" l="1"/>
  <c r="N80" i="2"/>
  <c r="J74" i="2"/>
  <c r="J76" i="2" s="1"/>
  <c r="H74" i="2"/>
  <c r="H76" i="2" s="1"/>
  <c r="G74" i="2"/>
  <c r="G76" i="2" s="1"/>
  <c r="L74" i="2"/>
  <c r="L76" i="2" s="1"/>
  <c r="I74" i="2"/>
  <c r="I76" i="2" s="1"/>
  <c r="K74" i="2"/>
  <c r="K76" i="2" s="1"/>
  <c r="E76" i="2"/>
  <c r="N76" i="2" l="1"/>
  <c r="L70" i="2"/>
  <c r="L72" i="2" s="1"/>
  <c r="I70" i="2"/>
  <c r="I72" i="2" s="1"/>
  <c r="H70" i="2"/>
  <c r="H72" i="2" s="1"/>
  <c r="K70" i="2"/>
  <c r="K72" i="2" s="1"/>
  <c r="J70" i="2"/>
  <c r="J72" i="2" s="1"/>
  <c r="E72" i="2"/>
  <c r="G72" i="2"/>
  <c r="J66" i="2"/>
  <c r="J68" i="2" s="1"/>
  <c r="L66" i="2"/>
  <c r="L68" i="2" s="1"/>
  <c r="G66" i="2"/>
  <c r="G68" i="2" s="1"/>
  <c r="I66" i="2"/>
  <c r="I68" i="2" s="1"/>
  <c r="K66" i="2"/>
  <c r="K68" i="2" s="1"/>
  <c r="H66" i="2"/>
  <c r="H68" i="2" s="1"/>
  <c r="E68" i="2"/>
  <c r="N72" i="2" l="1"/>
  <c r="N68" i="2"/>
  <c r="I62" i="2"/>
  <c r="I64" i="2" s="1"/>
  <c r="J62" i="2"/>
  <c r="J64" i="2" s="1"/>
  <c r="K62" i="2"/>
  <c r="K64" i="2" s="1"/>
  <c r="H62" i="2"/>
  <c r="H64" i="2" s="1"/>
  <c r="E64" i="2"/>
  <c r="L62" i="2"/>
  <c r="L64" i="2" s="1"/>
  <c r="G62" i="2"/>
  <c r="G64" i="2" s="1"/>
  <c r="N64" i="2" l="1"/>
  <c r="L58" i="2"/>
  <c r="L60" i="2" s="1"/>
  <c r="G58" i="2"/>
  <c r="G60" i="2" s="1"/>
  <c r="I58" i="2"/>
  <c r="I60" i="2" s="1"/>
  <c r="K58" i="2"/>
  <c r="K60" i="2" s="1"/>
  <c r="J58" i="2"/>
  <c r="J60" i="2" s="1"/>
  <c r="H58" i="2"/>
  <c r="H60" i="2" s="1"/>
  <c r="E60" i="2"/>
  <c r="N60" i="2" l="1"/>
  <c r="L54" i="2"/>
  <c r="K54" i="2"/>
  <c r="G54" i="2"/>
  <c r="I54" i="2"/>
  <c r="J54" i="2"/>
  <c r="H54" i="2"/>
  <c r="L50" i="2" l="1"/>
  <c r="G50" i="2"/>
  <c r="I50" i="2"/>
  <c r="K50" i="2"/>
  <c r="J50" i="2"/>
  <c r="H50" i="2"/>
  <c r="E56" i="2" l="1"/>
  <c r="L56" i="2"/>
  <c r="G56" i="2"/>
  <c r="I56" i="2"/>
  <c r="H56" i="2"/>
  <c r="K56" i="2"/>
  <c r="J56" i="2"/>
  <c r="N56" i="2" l="1"/>
  <c r="I46" i="2"/>
  <c r="L46" i="2"/>
  <c r="G46" i="2"/>
  <c r="K46" i="2"/>
  <c r="J46" i="2"/>
  <c r="H46" i="2"/>
  <c r="H42" i="2"/>
  <c r="J42" i="2" l="1"/>
  <c r="J44" i="2" s="1"/>
  <c r="I42" i="2"/>
  <c r="I44" i="2" s="1"/>
  <c r="L42" i="2"/>
  <c r="L44" i="2" s="1"/>
  <c r="G42" i="2"/>
  <c r="G44" i="2" s="1"/>
  <c r="K42" i="2"/>
  <c r="K44" i="2" s="1"/>
  <c r="E52" i="2"/>
  <c r="L52" i="2"/>
  <c r="G52" i="2"/>
  <c r="I52" i="2"/>
  <c r="H52" i="2"/>
  <c r="K52" i="2"/>
  <c r="J52" i="2"/>
  <c r="E48" i="2"/>
  <c r="L48" i="2"/>
  <c r="G48" i="2"/>
  <c r="I48" i="2"/>
  <c r="H48" i="2"/>
  <c r="K48" i="2"/>
  <c r="J48" i="2"/>
  <c r="E44" i="2"/>
  <c r="H44" i="2"/>
  <c r="N52" i="2" l="1"/>
  <c r="N48" i="2"/>
  <c r="N44" i="2"/>
  <c r="H38" i="2"/>
  <c r="J38" i="2"/>
  <c r="G38" i="2"/>
  <c r="L38" i="2"/>
  <c r="I34" i="2"/>
  <c r="I38" i="2"/>
  <c r="K38" i="2"/>
  <c r="L34" i="2"/>
  <c r="G34" i="2"/>
  <c r="K34" i="2"/>
  <c r="J34" i="2"/>
  <c r="H34" i="2"/>
  <c r="L30" i="2"/>
  <c r="G30" i="2"/>
  <c r="I30" i="2"/>
  <c r="K30" i="2"/>
  <c r="J30" i="2"/>
  <c r="H30" i="2"/>
  <c r="E40" i="2" l="1"/>
  <c r="L40" i="2"/>
  <c r="I40" i="2"/>
  <c r="H40" i="2"/>
  <c r="J40" i="2"/>
  <c r="G40" i="2"/>
  <c r="K40" i="2"/>
  <c r="E36" i="2"/>
  <c r="L36" i="2"/>
  <c r="I36" i="2"/>
  <c r="H36" i="2"/>
  <c r="J36" i="2"/>
  <c r="G36" i="2"/>
  <c r="K36" i="2"/>
  <c r="N40" i="2" l="1"/>
  <c r="N36" i="2"/>
  <c r="H26" i="2"/>
  <c r="L26" i="2"/>
  <c r="G26" i="2"/>
  <c r="I26" i="2"/>
  <c r="K26" i="2"/>
  <c r="J26" i="2"/>
  <c r="E24" i="2"/>
  <c r="L22" i="2"/>
  <c r="L24" i="2" s="1"/>
  <c r="I22" i="2"/>
  <c r="K22" i="2"/>
  <c r="J22" i="2"/>
  <c r="H22" i="2"/>
  <c r="E32" i="2" l="1"/>
  <c r="H32" i="2"/>
  <c r="L32" i="2"/>
  <c r="G32" i="2"/>
  <c r="I32" i="2"/>
  <c r="K32" i="2"/>
  <c r="J32" i="2"/>
  <c r="E28" i="2"/>
  <c r="L28" i="2"/>
  <c r="I28" i="2"/>
  <c r="H28" i="2"/>
  <c r="G28" i="2"/>
  <c r="K28" i="2"/>
  <c r="J28" i="2"/>
  <c r="G24" i="2"/>
  <c r="I24" i="2"/>
  <c r="H24" i="2"/>
  <c r="K24" i="2"/>
  <c r="J24" i="2"/>
  <c r="L18" i="2"/>
  <c r="L20" i="2" s="1"/>
  <c r="G18" i="2"/>
  <c r="G20" i="2" s="1"/>
  <c r="E4" i="2"/>
  <c r="L4" i="2"/>
  <c r="G4" i="2"/>
  <c r="I4" i="2"/>
  <c r="H4" i="2"/>
  <c r="K4" i="2"/>
  <c r="J4" i="2"/>
  <c r="E8" i="2"/>
  <c r="L8" i="2"/>
  <c r="G8" i="2"/>
  <c r="I8" i="2"/>
  <c r="H8" i="2"/>
  <c r="K8" i="2"/>
  <c r="J8" i="2"/>
  <c r="E12" i="2"/>
  <c r="E16" i="2"/>
  <c r="E20" i="2"/>
  <c r="I18" i="2"/>
  <c r="I20" i="2" s="1"/>
  <c r="K18" i="2"/>
  <c r="K20" i="2" s="1"/>
  <c r="J18" i="2"/>
  <c r="J20" i="2" s="1"/>
  <c r="H18" i="2"/>
  <c r="H20" i="2" s="1"/>
  <c r="H14" i="2"/>
  <c r="H16" i="2" s="1"/>
  <c r="L14" i="2"/>
  <c r="L16" i="2" s="1"/>
  <c r="K14" i="2"/>
  <c r="K16" i="2" s="1"/>
  <c r="G14" i="2"/>
  <c r="G16" i="2" s="1"/>
  <c r="I14" i="2"/>
  <c r="I16" i="2" s="1"/>
  <c r="J14" i="2"/>
  <c r="J16" i="2" s="1"/>
  <c r="N24" i="2" l="1"/>
  <c r="N28" i="2"/>
  <c r="N32" i="2"/>
  <c r="N20" i="2"/>
  <c r="N16" i="2"/>
  <c r="H10" i="2"/>
  <c r="H12" i="2" s="1"/>
  <c r="J10" i="2"/>
  <c r="J12" i="2" s="1"/>
  <c r="L10" i="2"/>
  <c r="L12" i="2" s="1"/>
  <c r="G10" i="2"/>
  <c r="G12" i="2" s="1"/>
  <c r="I10" i="2"/>
  <c r="I12" i="2" s="1"/>
  <c r="K10" i="2"/>
  <c r="K12" i="2" s="1"/>
  <c r="N4" i="2"/>
  <c r="N8" i="2" l="1"/>
  <c r="N12" i="2"/>
  <c r="L19" i="1"/>
  <c r="L17" i="1"/>
  <c r="L23" i="1"/>
  <c r="L21" i="1"/>
  <c r="L13" i="1" l="1"/>
  <c r="L11" i="1" l="1"/>
  <c r="L9" i="1" l="1"/>
  <c r="L3" i="1"/>
  <c r="L5" i="1"/>
  <c r="L7" i="1"/>
</calcChain>
</file>

<file path=xl/sharedStrings.xml><?xml version="1.0" encoding="utf-8"?>
<sst xmlns="http://schemas.openxmlformats.org/spreadsheetml/2006/main" count="1057" uniqueCount="260">
  <si>
    <t>Madan Raj</t>
  </si>
  <si>
    <t>madanraj0519@gmail.com</t>
  </si>
  <si>
    <t>CSS</t>
  </si>
  <si>
    <t>JS</t>
  </si>
  <si>
    <t>HTML</t>
  </si>
  <si>
    <t>React</t>
  </si>
  <si>
    <t>MySql</t>
  </si>
  <si>
    <t>MongoDB</t>
  </si>
  <si>
    <t>Node JS</t>
  </si>
  <si>
    <t>Logical</t>
  </si>
  <si>
    <t>1/2</t>
  </si>
  <si>
    <t>1/4</t>
  </si>
  <si>
    <t>0/1</t>
  </si>
  <si>
    <t>0/2</t>
  </si>
  <si>
    <t>Didn’t asked</t>
  </si>
  <si>
    <t>Hemanth R</t>
  </si>
  <si>
    <t>hemanthraghu96@gmail.com</t>
  </si>
  <si>
    <t>2/4</t>
  </si>
  <si>
    <t>1/1</t>
  </si>
  <si>
    <t>2/2</t>
  </si>
  <si>
    <t>3/4</t>
  </si>
  <si>
    <t>Good Student</t>
  </si>
  <si>
    <t>shenaz</t>
  </si>
  <si>
    <t>shenazsheik777@gmail.com</t>
  </si>
  <si>
    <t>Avg</t>
  </si>
  <si>
    <t>Feedback</t>
  </si>
  <si>
    <t>Learner was able to clear most of the machine test Questions …He need to work on communications and little bit in the concepts as well.. Other wise he was overall good</t>
  </si>
  <si>
    <t>SHAIK ABDUL CADER</t>
  </si>
  <si>
    <t>shaikabdulcader12345@gmail.com</t>
  </si>
  <si>
    <t>Name</t>
  </si>
  <si>
    <t>Email</t>
  </si>
  <si>
    <t>Contact</t>
  </si>
  <si>
    <t>Date</t>
  </si>
  <si>
    <t>Naveen S</t>
  </si>
  <si>
    <t>naveensakthivel14@gmail.com</t>
  </si>
  <si>
    <t>B49WD3 Tamil</t>
  </si>
  <si>
    <t>1/3</t>
  </si>
  <si>
    <t>let str="Poonam" //2 let test=str.match(/[aeiou]/g) console.log(test) console.log(test.length)</t>
  </si>
  <si>
    <t>Navanitharan</t>
  </si>
  <si>
    <t>navanitharan505@gmail.com</t>
  </si>
  <si>
    <t>He was okay theriticalwise but didn’t performed well in machine test… Comm skills also needs to be improved</t>
  </si>
  <si>
    <t>Sowmya Gopinath</t>
  </si>
  <si>
    <t>Gowtham</t>
  </si>
  <si>
    <t>`1/2</t>
  </si>
  <si>
    <t>1.5</t>
  </si>
  <si>
    <t>Raj</t>
  </si>
  <si>
    <t>He was okay in thoritical part but he needs lot of improvement in coding</t>
  </si>
  <si>
    <t>mohan Raj A</t>
  </si>
  <si>
    <t>2/3</t>
  </si>
  <si>
    <t>3/3</t>
  </si>
  <si>
    <t>theortical okay but programing skills poor</t>
  </si>
  <si>
    <t>Ajay kumar</t>
  </si>
  <si>
    <t>retake2</t>
  </si>
  <si>
    <t>For Backend He said … he is not prepared</t>
  </si>
  <si>
    <t>He was okay in some part… he needs to work on programming skills</t>
  </si>
  <si>
    <t>Nixon</t>
  </si>
  <si>
    <t>Syed Samsher Ali</t>
  </si>
  <si>
    <t>Questions Asked</t>
  </si>
  <si>
    <t>Average Marks</t>
  </si>
  <si>
    <t>Jegan Parismay</t>
  </si>
  <si>
    <t>He was good and he answred well and was able to solve the coding questions as well</t>
  </si>
  <si>
    <t>Manu Mn</t>
  </si>
  <si>
    <t>Questions Answered</t>
  </si>
  <si>
    <t xml:space="preserve">He was good but he couldn’t answer the questions in an appropriate way and in manchine coding round as well he couldn’t perform much well </t>
  </si>
  <si>
    <t>Janani Bharathi</t>
  </si>
  <si>
    <t>Deepalakshmi Sridharan</t>
  </si>
  <si>
    <t>She was good in coding skills, and she answered theoretical questions, but her responses weren't always appropriate. She still needs to improve her communication and theoretical skills as well.</t>
  </si>
  <si>
    <t>She was struggling in theoretical areas, and her coding skills need to be improved</t>
  </si>
  <si>
    <t>Manimozhi</t>
  </si>
  <si>
    <t>Anithasri Lakshmanan</t>
  </si>
  <si>
    <t>She answered a few questions, but they weren't appropriate, and she was unable to solve the coding questions. Her communication skills also need improvement.</t>
  </si>
  <si>
    <t>She answered a few questions, but they weren't appropriate, and she was unable to solve the coding questions.</t>
  </si>
  <si>
    <t>Seenivasan K B</t>
  </si>
  <si>
    <t>Suganesan</t>
  </si>
  <si>
    <t>gokul Murugan</t>
  </si>
  <si>
    <t>Student answered a few questions, but they weren't appropriate, and was unable to solve the coding questions.</t>
  </si>
  <si>
    <t>Learner answered well in frontend part but little lagging in backend and also needs to work on his coding skills.</t>
  </si>
  <si>
    <t>Shripriya R</t>
  </si>
  <si>
    <t>Deivanai</t>
  </si>
  <si>
    <t>Student answered a questions, but they weren't appropriate, and was able to solve the coding questions to an extent , needs improvement.</t>
  </si>
  <si>
    <t>Learner was good and answred well and was able to solve the coding questions as well</t>
  </si>
  <si>
    <t>Shubham Peddarpeth</t>
  </si>
  <si>
    <t>Senthil</t>
  </si>
  <si>
    <t>Learner answered a few questions, but they weren't appropriate, and was unable to solve the coding questions, communication skills also need improvement.</t>
  </si>
  <si>
    <t>Abhimanyu</t>
  </si>
  <si>
    <t>Student answered a questions, but they weren't appropriate, and wasn't able to solve the coding questions , needs improvement, communication skills also need improvement.</t>
  </si>
  <si>
    <t>SENAPATHI M</t>
  </si>
  <si>
    <t>Suresh</t>
  </si>
  <si>
    <t>Learner answered well but little lagging in concepts and and was able to solve the coding questions to an extent , needs improvement.</t>
  </si>
  <si>
    <t>BALA SIVAM</t>
  </si>
  <si>
    <t>Learner answered well in theory but wasnt able to solve the coding questions, needs improvement.</t>
  </si>
  <si>
    <t>Akash P</t>
  </si>
  <si>
    <t xml:space="preserve"> 02:00 to 02.45 PM </t>
  </si>
  <si>
    <t>Learner was good and answred well and was able to solve the coding questions to an extent , but still needed an improvement</t>
  </si>
  <si>
    <t>Praveen  Kumar</t>
  </si>
  <si>
    <t>Student answered a questions, but they weren't appropriate, and wasn't able to solve the coding questions , needs improvement.</t>
  </si>
  <si>
    <t>Vignesh Boopathi</t>
  </si>
  <si>
    <t>Student answered a questions, but they weren't appropriate, and wasn't able to solve the coding questions , needs improvementimprovement.</t>
  </si>
  <si>
    <t>Parthiban S</t>
  </si>
  <si>
    <t>Vivin S</t>
  </si>
  <si>
    <t>Student answered a questions, but they weren't appropriate, and wasn't able to solve the coding questions , needs lot of improvement</t>
  </si>
  <si>
    <t>BEWIN SHAJI SJ</t>
  </si>
  <si>
    <t>Adhidhya Ponnuchamy</t>
  </si>
  <si>
    <t>Learner was good and answred well and was able to solve the coding questions to an extent ,Good to go</t>
  </si>
  <si>
    <t>Ajithkumar Duraisamy</t>
  </si>
  <si>
    <t>Arun  Kumar.P</t>
  </si>
  <si>
    <t>Student answered a questions, but they weren't appropriate, and was able to solve the coding questions , but still needs lot of improvement</t>
  </si>
  <si>
    <t>Student wsant able to answer in English, He needs to improve the Communication Skills,</t>
  </si>
  <si>
    <t>Leaner needs to improve in both theory and coding as well, leraner couldn’t solve the coding question,Also he needs to improve the Communication Skills</t>
  </si>
  <si>
    <t>Vivin</t>
  </si>
  <si>
    <t>Shobna</t>
  </si>
  <si>
    <t>Leaner needs to improve in both theory and coding as well, leraner couldn’t solve the coding question</t>
  </si>
  <si>
    <t>Ruvetha</t>
  </si>
  <si>
    <t>Kishore</t>
  </si>
  <si>
    <t>Learaner couldn’t solve the coding question, also in theory part learner is very very weak,not able to answer properly</t>
  </si>
  <si>
    <t>Suriya Priyan</t>
  </si>
  <si>
    <t>Dharani S</t>
  </si>
  <si>
    <t>Learaner tried solving coding question to an extent was okay, also in theory part learner is very very weak,not able to answer properly</t>
  </si>
  <si>
    <t>Ashok</t>
  </si>
  <si>
    <t>Retake</t>
  </si>
  <si>
    <t>comm skills poor</t>
  </si>
  <si>
    <t>Coding Questions he were able to solve to an extent but therotically weak.. And she needs to work upon the comm skills as well</t>
  </si>
  <si>
    <t>Mani</t>
  </si>
  <si>
    <t>Therotically learner was good but was unable to solve coding questions.He need to work more on technical skills</t>
  </si>
  <si>
    <t>Vijay S</t>
  </si>
  <si>
    <t>kannan</t>
  </si>
  <si>
    <t>Learaner couldn’t solve the coding question, also in theory part learner is weak,not able to answer properly</t>
  </si>
  <si>
    <t>Jeeva</t>
  </si>
  <si>
    <t>Learaner couldn’t solve the coding question and theroy question… couldn’t answer the question as she is fearing… asked to reschedule</t>
  </si>
  <si>
    <t>NivethaShree</t>
  </si>
  <si>
    <t>Poorani</t>
  </si>
  <si>
    <t>Subhashini Balu</t>
  </si>
  <si>
    <t>Learaner couldn’t solve the coding question, theorywise she is good,comm skills also good</t>
  </si>
  <si>
    <t>/createPost</t>
  </si>
  <si>
    <t>/createMeeting</t>
  </si>
  <si>
    <t>/createEvent</t>
  </si>
  <si>
    <t>type:post</t>
  </si>
  <si>
    <t>/listhomepagedata</t>
  </si>
  <si>
    <t>R. P. S. Baalaji</t>
  </si>
  <si>
    <t>selva ananth</t>
  </si>
  <si>
    <t>MAHABOOB</t>
  </si>
  <si>
    <t>The learner was unable to solve the coding question and struggled significantly with the theory, showing a very weak understanding and inability to answer properly</t>
  </si>
  <si>
    <t>Sankar</t>
  </si>
  <si>
    <t>Usha nandhini M</t>
  </si>
  <si>
    <t>Sudhan S</t>
  </si>
  <si>
    <t>jayaprakash</t>
  </si>
  <si>
    <t>Roshan</t>
  </si>
  <si>
    <t>Shailesh</t>
  </si>
  <si>
    <t>Bharani</t>
  </si>
  <si>
    <t>Learaner couldn’t solve the coding question, in theory he was quite okay ,but still needs an improvement</t>
  </si>
  <si>
    <t>Ajay Krishnan</t>
  </si>
  <si>
    <t>Learner couldn’t answer any questions</t>
  </si>
  <si>
    <t>Harish Raja</t>
  </si>
  <si>
    <t>Ram Kumar</t>
  </si>
  <si>
    <t>Jayasudhan</t>
  </si>
  <si>
    <t>The learner was unable to solve the coding question but therotically he was good ,answered 70% of the question</t>
  </si>
  <si>
    <t>Priyanga Srinivasan</t>
  </si>
  <si>
    <t>Ruthra MJ</t>
  </si>
  <si>
    <t>Mani Muthu</t>
  </si>
  <si>
    <t>Learner was good and answred well but little stuck in JS and was able to solve the coding questions to an extent ,Good to go</t>
  </si>
  <si>
    <t>Naveen Kumar</t>
  </si>
  <si>
    <t>Suraj</t>
  </si>
  <si>
    <t>Kukila Singaram</t>
  </si>
  <si>
    <t>Dhiwakar M</t>
  </si>
  <si>
    <t>UshaNandini</t>
  </si>
  <si>
    <t>Sanjay</t>
  </si>
  <si>
    <t>Manoj</t>
  </si>
  <si>
    <t>Vengadesan</t>
  </si>
  <si>
    <t>Communication needs to be improved and the learner was unable to solve the coding question and struggled significantly with the theory, showing a very weak understanding and inability to answer properly</t>
  </si>
  <si>
    <t>Karunakaran</t>
  </si>
  <si>
    <t>AnantRajan</t>
  </si>
  <si>
    <t>learner was unable to solve the coding question and struggled significantly with the theory, showing a very weak understanding and inability to answer properly</t>
  </si>
  <si>
    <t>Communication needs to improved, learner was unable to solve the coding question and struggled significantly with the theory, showing a very weak understanding and inability to answer properly</t>
  </si>
  <si>
    <t>Sudarshan</t>
  </si>
  <si>
    <t>Communication needs to improved, learner was able to approach for the coding question and struggled significantly with the theory, showing a very weak understanding and inability to answer properly</t>
  </si>
  <si>
    <t>MySql/Comm</t>
  </si>
  <si>
    <t>0 &gt;&gt;1 0.2 &gt;&gt;1 0.3&gt;&gt;2 0.5 &gt;&gt;5 0.7 &gt;&gt;7 0.8 &gt;&gt;7.5 0.9-1 &gt;&gt;8</t>
  </si>
  <si>
    <t>Suriya</t>
  </si>
  <si>
    <t>Communication is good,learner was unable to solve the coding question and struggled significantly with the theory, showing a very weak understanding inability to answer properly</t>
  </si>
  <si>
    <t>Learner able to solve JS and react coding question with little hints , so he outperformed in terms of technical but  he struggled significantly with the theory because of communication and inability to answer properly so he needs  a lot of improvement in theory of all sections and communication as well.</t>
  </si>
  <si>
    <t>Dhinesh Kumar</t>
  </si>
  <si>
    <t>Communication is okay(managing to answer),learner was unable to solve the coding question therotically he was good ,answered 60-70% of the question</t>
  </si>
  <si>
    <t>Hemanth Kumar</t>
  </si>
  <si>
    <t>Learner was good and answred well most of the questions and was able to solve the coding questions to an extent ,Good to go</t>
  </si>
  <si>
    <t>Mukesh</t>
  </si>
  <si>
    <t>Communication is good, learner was unable to solve the coding question(React and JS) but he successfully solved MongoDB Questions and theory-wise was able to answer the questions but not accurately somewhere struggled. Needs Improvement in both Technical and Theory</t>
  </si>
  <si>
    <t>Communication is okay(managing to answer),learner was unable to solve the coding question(React and JS) but he successfully solved MongoDB Questions theoretically he was able to answer 50% of the question, Needs Improvement in both Theory and Technical skills</t>
  </si>
  <si>
    <t>Anadharaj</t>
  </si>
  <si>
    <t>Santhosh</t>
  </si>
  <si>
    <t>Communication is good, learner was unable to solve the coding question and theory-wise was able to answer the questions but not accurately somewhere struggled. Needs Improvement in both Technical and Theory</t>
  </si>
  <si>
    <t>Jashwanth</t>
  </si>
  <si>
    <t>Sudharshan</t>
  </si>
  <si>
    <t>Communication is good, learner was able to approach &amp; solve the coding question but wasn’t able to get the output and struggled also significantly with the theory, showing a very weak understanding and inability to answer properly. He need to  focus more theory part</t>
  </si>
  <si>
    <t>Narain Muralidharan</t>
  </si>
  <si>
    <t>Monish</t>
  </si>
  <si>
    <t>Communication is okay,learner was unable to solve the coding question and struggled significantly with the theory, showing a very weak understanding inability to answer properly</t>
  </si>
  <si>
    <t>Arsathali L</t>
  </si>
  <si>
    <t>Communication needs to improved, learner was able to approach for the coding Question but struggled significantly with the theory, showing a very weak understanding and inability to answer properly</t>
  </si>
  <si>
    <t>Arun V</t>
  </si>
  <si>
    <t>Communication is Good, learner was able to approach and solve the coding Question .Theroy questions were answered appropriately but still little need to work out on therory part, but overall Good performance</t>
  </si>
  <si>
    <t>Kamesh J</t>
  </si>
  <si>
    <t xml:space="preserve">Communication needs to improved, learner was able to approach for the coding Question but struggled significantly with the theory, showing a very weak understanding and inability to answer properly - Lanaguage was the barrier </t>
  </si>
  <si>
    <t>Kishore Kumar</t>
  </si>
  <si>
    <t>Communication is okay, learner was able to approach for the coding Question but struggled significantly with the theory, showing a very weak understanding and inability to answer properly.</t>
  </si>
  <si>
    <t>Santosh Kumar</t>
  </si>
  <si>
    <t>Communication is good learner was able to approach for the coding Question but couldn’t solve the questions, also he answered the theory questions but struggled little while answering and also few were unkown , so needs improvemnet in both theory and coding .</t>
  </si>
  <si>
    <t>Gunasekhar</t>
  </si>
  <si>
    <t>Communication is okay learner solved 1 Question in JS but React and Mongo he didn't able to solve and theoretically very weak ,he struggled a lot , so needs improvement in both theory and coding .</t>
  </si>
  <si>
    <t>Padmesh</t>
  </si>
  <si>
    <t>The candidate communicated well and made an effort to solve the coding questions.
Somewhere struggled in coding as he took little more time than expected ,but he really needs an improvement in theory .</t>
  </si>
  <si>
    <t>Communication is Good , learner was able to approach for the coding Question and was able to solve to an extent and also he answered around 60-70% of the theory questions, but needs an improvement in JS coding part, Mongo Queries and few concepts of JS as well</t>
  </si>
  <si>
    <t>S.Mohamed Ajardeen</t>
  </si>
  <si>
    <t>KARTHIKEYAN</t>
  </si>
  <si>
    <t>Kavya</t>
  </si>
  <si>
    <t>Communication is Good , learner was able to approach for the coding Question but couldn’t solve the question and also he answered around 50% of the theory questions, but needs an improvement in coding part and theory as well</t>
  </si>
  <si>
    <t>Kubendiran P</t>
  </si>
  <si>
    <t>Communication needs to improved, Learner coding skills absolutely good, but struggling in theory questions , few questions were answered but need an improvement in communication and in concepts as well.</t>
  </si>
  <si>
    <t>Candidate Joined and dropped off in between due to the low bandwidth/connectivity issue</t>
  </si>
  <si>
    <t>Muthupandi Thamaraiselvam's</t>
  </si>
  <si>
    <t>Communication is okay, learner was able to approach for the coding Question but couldn’t solve the question &amp; struggled significantly with the theory, showing a very weak understanding and inability to answer properly</t>
  </si>
  <si>
    <t>Sathish</t>
  </si>
  <si>
    <t>J Nickshan</t>
  </si>
  <si>
    <t>Mukesh D v r</t>
  </si>
  <si>
    <t>Communication is okay, learner was able to approach for the coding Question but couldn’t solve the question &amp; 50% of questions were answered but need an improvement in those concepts as well.</t>
  </si>
  <si>
    <t>stantilin</t>
  </si>
  <si>
    <t>kumaravel</t>
  </si>
  <si>
    <t>Communication is good learner was able to approach for the coding Question but couldn’t solve the JS questions but rest all he attempted and reached to a solution but the time taken to complete the problem to high, also he answered the theory questions but missed few of them and some were incorrect , so needs improvemnet in both theory and coding .</t>
  </si>
  <si>
    <t>M Peer Mohammed</t>
  </si>
  <si>
    <t>Deepak</t>
  </si>
  <si>
    <t>Communication needs to be improved. The learner was able to approach the question but couldn’t solve the React question. In theory, he attempted to answer the questions but struggled to express them clearly. He needs improvement in both coding and theoretical understanding</t>
  </si>
  <si>
    <t>Santhosh kumar S</t>
  </si>
  <si>
    <t>jenifer</t>
  </si>
  <si>
    <t>Learner was able to approach for the coding Question but couldn’t sove the Question and also struggled significantly with the theory, showing a very weak understanding and inability to answer properly</t>
  </si>
  <si>
    <t>Venkatesh</t>
  </si>
  <si>
    <t>Communication is okay,learner was able to approach the coding question but solved only the react question and struggled significantly with the theory, showing a very weak understanding inability to answer properly</t>
  </si>
  <si>
    <t>Communication is okay,learner was able to approach the coding question but couldn’t solve any technical question and struggled significantly with the theory, showing a very weak understanding inability to answer properly</t>
  </si>
  <si>
    <t>S.Srikiruba</t>
  </si>
  <si>
    <t>Communication is okay,learner was able to approach the coding question but couldn’t solve any technical question and HTML/CSS/NODE Theory questions were able to answer but for the rest struggled significantly with the theory.</t>
  </si>
  <si>
    <t>Atchaya</t>
  </si>
  <si>
    <t>Communication is okay,learner was able to approach the coding question but couldn’t solve any technical question and theroy wise she answered but not an complete answered, needs an improvement in both places</t>
  </si>
  <si>
    <t>Prasanna venkatesh</t>
  </si>
  <si>
    <t>Communication was okay, and the learner was able to approach the coding question and successfully solve the JavaScript problem. Other questions were attempted but not fully solved; however, problem-solving skills were good. In contrast, theoretical knowledge was very poor, and the learner needs to work on recollecting and improving theoretical concept</t>
  </si>
  <si>
    <t>Kathirvel</t>
  </si>
  <si>
    <t>Communication is okay,learner was able to approach the coding question but couldn’t solve technical question(Solved Mongo Question) and answered few questions very well but still struggled in other areas in theory, Need an improvement in both the areas.</t>
  </si>
  <si>
    <t>Manikandan N</t>
  </si>
  <si>
    <t>Communication is okay,learner didn’t attempted coding Question,nodejs,mongodb . In frontend he answered well for HTML/CSS but for React and JS he couldn’t answer.He needs time for Preparations, and improvement is needed in all areas</t>
  </si>
  <si>
    <t>Jawahar G</t>
  </si>
  <si>
    <t>Learner couldn’t hear the voice , had ask to fix the audio and resechulde the mock</t>
  </si>
  <si>
    <t>Communication is Good, learner was able to approach but missed the requiremnets and was able to solve to an extent .Theroy questions were answered, few were missed,  but still little need to work out on therory part and coding both</t>
  </si>
  <si>
    <t>Mohankumar</t>
  </si>
  <si>
    <t>yashwanth reddy guda</t>
  </si>
  <si>
    <t>Communication is okay,learner was unable to solve the coding question and theory question asnwered but few questions were missed, need imporvement in bothe areas.</t>
  </si>
  <si>
    <t>Vignesh</t>
  </si>
  <si>
    <t>Communication is Good,learner was unable to solve the coding question and theory question asnwered but few questions were missed, need improvement in both the areas especially in coding</t>
  </si>
  <si>
    <t>Communication is Okay, learner was able to approach and asked about the code explanation-couldn’t explain .Theroy questions were answered, few were missed,  but still little need to work out on therory part and coding both</t>
  </si>
  <si>
    <t>Communication was okay, and the learner was able to approach the coding question and successfully solve the JavaScript problem. Other questions were attempted but not fully solved. In contrast, theoretical knowledge was also good, and the learner needs to work in both the areas.</t>
  </si>
  <si>
    <t>Communication is Good,learner was unable to solve the coding question and theory question asnwered but few questions were missed, need improvement in both the areas especially in coding- Candidate is too much confused while answering &amp; said while coding , he was asking for the AI assistance</t>
  </si>
  <si>
    <t>Communication was okay. The learner was unable to solve the JavaScript coding question and, to some extent, struggled with MongoDB. They faced significant difficulty with theoretical questions in Frontend and were unable to solve the ReactJS coding problem. Improvement is needed in these areas.</t>
  </si>
  <si>
    <t>SWAMINATHAN VK</t>
  </si>
  <si>
    <t>Communication was okay. The learner was unable to solve the coding question but was good with theoretical concepts. They were able to solve MongoDB queries; however, improvement is needed in coding skills, particularly in React and JavaScript.</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</si>
</sst>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4" x14ac:knownFonts="1">
    <font>
      <sz val="11"/>
      <color theme="1"/>
      <name val="Calibri"/>
      <family val="2"/>
      <scheme val="minor"/>
    </font>
    <font>
      <sz val="10"/>
      <color theme="1"/>
      <name val="Arial"/>
      <family val="2"/>
    </font>
    <font>
      <sz val="7"/>
      <color rgb="FF202124"/>
      <name val="Arial"/>
      <family val="2"/>
    </font>
    <font>
      <b/>
      <sz val="11"/>
      <color theme="1"/>
      <name val="Calibri"/>
      <family val="2"/>
      <scheme val="minor"/>
    </font>
  </fonts>
  <fills count="3">
    <fill>
      <patternFill patternType="none"/>
    </fill>
    <fill>
      <patternFill patternType="gray125"/>
    </fill>
    <fill>
      <patternFill patternType="solid">
        <fgColor rgb="FFFFFFFF"/>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45">
    <xf numFmtId="0" fontId="0" fillId="0" borderId="0" xfId="0"/>
    <xf numFmtId="0" fontId="0" fillId="0" borderId="1" xfId="0" applyBorder="1" applyAlignment="1">
      <alignment horizontal="center" vertical="center"/>
    </xf>
    <xf numFmtId="16" fontId="0" fillId="0" borderId="1" xfId="0" quotePrefix="1" applyNumberFormat="1" applyBorder="1" applyAlignment="1">
      <alignment horizontal="center" vertical="center"/>
    </xf>
    <xf numFmtId="0" fontId="0" fillId="0" borderId="1" xfId="0" quotePrefix="1" applyBorder="1" applyAlignment="1">
      <alignment horizontal="center" vertical="center"/>
    </xf>
    <xf numFmtId="2" fontId="0" fillId="0" borderId="1" xfId="0" quotePrefix="1" applyNumberFormat="1" applyBorder="1" applyAlignment="1">
      <alignment horizontal="center" vertical="center"/>
    </xf>
    <xf numFmtId="0" fontId="0" fillId="0" borderId="0" xfId="0" applyAlignment="1"/>
    <xf numFmtId="0" fontId="0" fillId="0" borderId="1" xfId="0" applyFill="1" applyBorder="1" applyAlignment="1">
      <alignment horizontal="center" vertical="center"/>
    </xf>
    <xf numFmtId="0" fontId="0" fillId="0" borderId="1" xfId="0" quotePrefix="1" applyFill="1" applyBorder="1" applyAlignment="1">
      <alignment horizontal="center" vertical="center"/>
    </xf>
    <xf numFmtId="164" fontId="1" fillId="2" borderId="1" xfId="0" applyNumberFormat="1" applyFont="1" applyFill="1" applyBorder="1" applyAlignment="1">
      <alignment horizontal="center" vertical="center"/>
    </xf>
    <xf numFmtId="164" fontId="0" fillId="0" borderId="1" xfId="0" applyNumberFormat="1" applyBorder="1" applyAlignment="1">
      <alignment horizontal="center" vertical="center"/>
    </xf>
    <xf numFmtId="0" fontId="2" fillId="0" borderId="0" xfId="0" applyFont="1"/>
    <xf numFmtId="16" fontId="0" fillId="0" borderId="0" xfId="0" quotePrefix="1" applyNumberFormat="1" applyAlignment="1"/>
    <xf numFmtId="0" fontId="0" fillId="0" borderId="0" xfId="0" quotePrefix="1" applyAlignment="1"/>
    <xf numFmtId="0" fontId="0" fillId="0" borderId="0" xfId="0" applyFill="1" applyBorder="1" applyAlignment="1"/>
    <xf numFmtId="0" fontId="0" fillId="0" borderId="0" xfId="0" applyAlignment="1">
      <alignment horizontal="center" wrapText="1"/>
    </xf>
    <xf numFmtId="16" fontId="0" fillId="0" borderId="0" xfId="0" applyNumberFormat="1" applyAlignment="1">
      <alignment horizontal="center" wrapText="1"/>
    </xf>
    <xf numFmtId="0" fontId="0" fillId="0" borderId="2" xfId="0" applyBorder="1" applyAlignment="1">
      <alignment horizontal="center" wrapText="1"/>
    </xf>
    <xf numFmtId="16" fontId="0" fillId="0" borderId="3" xfId="0" applyNumberFormat="1" applyBorder="1" applyAlignment="1">
      <alignment horizontal="center" wrapText="1"/>
    </xf>
    <xf numFmtId="0" fontId="0" fillId="0" borderId="4" xfId="0" applyBorder="1" applyAlignment="1">
      <alignment horizontal="center" wrapText="1"/>
    </xf>
    <xf numFmtId="0" fontId="0" fillId="0" borderId="4" xfId="0" quotePrefix="1" applyBorder="1" applyAlignment="1">
      <alignment horizontal="center" wrapText="1"/>
    </xf>
    <xf numFmtId="0" fontId="0" fillId="0" borderId="5" xfId="0" applyBorder="1" applyAlignment="1">
      <alignment horizontal="center" wrapText="1"/>
    </xf>
    <xf numFmtId="16" fontId="0" fillId="0" borderId="6" xfId="0" applyNumberFormat="1" applyBorder="1" applyAlignment="1">
      <alignment horizontal="center" wrapText="1"/>
    </xf>
    <xf numFmtId="0" fontId="0" fillId="0" borderId="0" xfId="0" applyBorder="1" applyAlignment="1">
      <alignment horizontal="center" wrapText="1"/>
    </xf>
    <xf numFmtId="0" fontId="0" fillId="0" borderId="0" xfId="0" quotePrefix="1" applyBorder="1" applyAlignment="1">
      <alignment horizontal="center" wrapText="1"/>
    </xf>
    <xf numFmtId="0" fontId="0" fillId="0" borderId="7" xfId="0" applyBorder="1" applyAlignment="1">
      <alignment horizontal="center" wrapText="1"/>
    </xf>
    <xf numFmtId="16" fontId="0" fillId="0" borderId="8" xfId="0" applyNumberFormat="1" applyBorder="1" applyAlignment="1">
      <alignment horizontal="center" wrapText="1"/>
    </xf>
    <xf numFmtId="0" fontId="0" fillId="0" borderId="9" xfId="0" applyBorder="1" applyAlignment="1">
      <alignment horizontal="center" wrapText="1"/>
    </xf>
    <xf numFmtId="164" fontId="0" fillId="0" borderId="9" xfId="0" applyNumberFormat="1" applyBorder="1" applyAlignment="1">
      <alignment horizontal="center" wrapText="1"/>
    </xf>
    <xf numFmtId="0" fontId="0" fillId="0" borderId="10" xfId="0" applyBorder="1" applyAlignment="1">
      <alignment horizontal="center" wrapText="1"/>
    </xf>
    <xf numFmtId="0" fontId="0" fillId="0" borderId="10" xfId="0" applyBorder="1" applyAlignment="1">
      <alignment horizontal="left"/>
    </xf>
    <xf numFmtId="0" fontId="0" fillId="0" borderId="4" xfId="0" applyBorder="1" applyAlignment="1">
      <alignment horizontal="center"/>
    </xf>
    <xf numFmtId="16" fontId="0" fillId="0" borderId="3" xfId="0" applyNumberFormat="1" applyBorder="1" applyAlignment="1">
      <alignment horizontal="center"/>
    </xf>
    <xf numFmtId="0" fontId="0" fillId="0" borderId="4" xfId="0" quotePrefix="1" applyBorder="1" applyAlignment="1">
      <alignment horizontal="center"/>
    </xf>
    <xf numFmtId="0" fontId="0" fillId="0" borderId="5" xfId="0" applyBorder="1" applyAlignment="1">
      <alignment horizontal="center"/>
    </xf>
    <xf numFmtId="0" fontId="0" fillId="0" borderId="10" xfId="0" applyBorder="1" applyAlignment="1">
      <alignment horizontal="center"/>
    </xf>
    <xf numFmtId="0" fontId="3" fillId="0" borderId="0" xfId="0" applyFont="1" applyAlignment="1">
      <alignment horizontal="center" wrapText="1"/>
    </xf>
    <xf numFmtId="0" fontId="3" fillId="0" borderId="2" xfId="0" applyFont="1" applyBorder="1" applyAlignment="1">
      <alignment horizontal="center" wrapText="1"/>
    </xf>
    <xf numFmtId="0" fontId="3" fillId="0" borderId="2" xfId="0" applyFont="1" applyFill="1" applyBorder="1" applyAlignment="1">
      <alignment horizontal="center" wrapText="1"/>
    </xf>
    <xf numFmtId="0" fontId="0" fillId="0" borderId="0" xfId="0" applyBorder="1" applyAlignment="1">
      <alignment horizontal="center"/>
    </xf>
    <xf numFmtId="0" fontId="0" fillId="0" borderId="0" xfId="0" quotePrefix="1" applyBorder="1" applyAlignment="1">
      <alignment horizontal="center"/>
    </xf>
    <xf numFmtId="0" fontId="0" fillId="0" borderId="9" xfId="0" applyBorder="1" applyAlignment="1">
      <alignment horizontal="center"/>
    </xf>
    <xf numFmtId="164" fontId="0" fillId="0" borderId="9" xfId="0" applyNumberFormat="1" applyBorder="1" applyAlignment="1">
      <alignment horizontal="center"/>
    </xf>
    <xf numFmtId="0" fontId="0" fillId="0" borderId="0" xfId="0" applyAlignment="1">
      <alignment horizontal="center" vertical="center" wrapText="1"/>
    </xf>
    <xf numFmtId="1" fontId="0" fillId="0" borderId="9" xfId="0" applyNumberFormat="1" applyBorder="1" applyAlignment="1">
      <alignment horizontal="center" wrapText="1"/>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24"/>
  <sheetViews>
    <sheetView tabSelected="1" workbookViewId="0">
      <pane ySplit="1" topLeftCell="A519" activePane="bottomLeft" state="frozen"/>
      <selection pane="bottomLeft" activeCell="H522" sqref="H522"/>
    </sheetView>
  </sheetViews>
  <sheetFormatPr defaultRowHeight="14.5" x14ac:dyDescent="0.35"/>
  <cols>
    <col min="1" max="1" width="8.7265625" style="14"/>
    <col min="2" max="2" width="24.453125" style="14" customWidth="1"/>
    <col min="3" max="3" width="16.7265625" style="14" bestFit="1" customWidth="1"/>
    <col min="4" max="4" width="18" style="14" customWidth="1"/>
    <col min="5" max="5" width="6.36328125" style="14" bestFit="1" customWidth="1"/>
    <col min="6" max="6" width="8.36328125" style="14" customWidth="1"/>
    <col min="7" max="7" width="9.08984375" style="14" bestFit="1" customWidth="1"/>
    <col min="8" max="8" width="5.6328125" style="14" customWidth="1"/>
    <col min="9" max="9" width="7.6328125" style="14" customWidth="1"/>
    <col min="10" max="10" width="6.08984375" style="14" customWidth="1"/>
    <col min="11" max="11" width="7.6328125" style="14" customWidth="1"/>
    <col min="12" max="12" width="7.26953125" style="14" bestFit="1" customWidth="1"/>
    <col min="13" max="13" width="0.7265625" style="14" customWidth="1"/>
    <col min="14" max="14" width="4.26953125" style="14" customWidth="1"/>
    <col min="15" max="15" width="135.81640625" style="14" customWidth="1"/>
    <col min="16" max="16384" width="8.7265625" style="14"/>
  </cols>
  <sheetData>
    <row r="1" spans="1:15" ht="29.5" thickBot="1" x14ac:dyDescent="0.4">
      <c r="A1" s="35" t="s">
        <v>32</v>
      </c>
      <c r="B1" s="36" t="s">
        <v>29</v>
      </c>
      <c r="C1" s="36" t="s">
        <v>30</v>
      </c>
      <c r="D1" s="36"/>
      <c r="E1" s="36" t="s">
        <v>9</v>
      </c>
      <c r="F1" s="36" t="s">
        <v>175</v>
      </c>
      <c r="G1" s="36" t="s">
        <v>7</v>
      </c>
      <c r="H1" s="36" t="s">
        <v>3</v>
      </c>
      <c r="I1" s="36" t="s">
        <v>5</v>
      </c>
      <c r="J1" s="36" t="s">
        <v>4</v>
      </c>
      <c r="K1" s="36" t="s">
        <v>2</v>
      </c>
      <c r="L1" s="36" t="s">
        <v>8</v>
      </c>
      <c r="M1" s="36"/>
      <c r="N1" s="37" t="s">
        <v>24</v>
      </c>
      <c r="O1" s="16" t="s">
        <v>25</v>
      </c>
    </row>
    <row r="2" spans="1:15" s="30" customFormat="1" x14ac:dyDescent="0.35">
      <c r="A2" s="31">
        <v>45467</v>
      </c>
      <c r="B2" s="30" t="s">
        <v>56</v>
      </c>
      <c r="D2" s="30" t="s">
        <v>62</v>
      </c>
      <c r="E2" s="32">
        <v>0.5</v>
      </c>
      <c r="F2" s="32">
        <v>1</v>
      </c>
      <c r="G2" s="32">
        <v>0</v>
      </c>
      <c r="H2" s="32">
        <v>1.5</v>
      </c>
      <c r="I2" s="32">
        <v>2</v>
      </c>
      <c r="J2" s="32">
        <v>1</v>
      </c>
      <c r="K2" s="32">
        <v>1</v>
      </c>
      <c r="L2" s="32">
        <v>1</v>
      </c>
      <c r="M2" s="32"/>
      <c r="O2" s="33"/>
    </row>
    <row r="3" spans="1:15" s="22" customFormat="1" x14ac:dyDescent="0.35">
      <c r="A3" s="21">
        <v>45467</v>
      </c>
      <c r="B3" s="22" t="s">
        <v>56</v>
      </c>
      <c r="D3" s="22" t="s">
        <v>57</v>
      </c>
      <c r="E3" s="23">
        <v>1</v>
      </c>
      <c r="F3" s="23">
        <v>1</v>
      </c>
      <c r="G3" s="23">
        <v>2</v>
      </c>
      <c r="H3" s="23">
        <v>4</v>
      </c>
      <c r="I3" s="23">
        <v>4</v>
      </c>
      <c r="J3" s="23">
        <v>3</v>
      </c>
      <c r="K3" s="23">
        <v>3</v>
      </c>
      <c r="L3" s="23">
        <v>4</v>
      </c>
      <c r="M3" s="23"/>
      <c r="O3" s="24"/>
    </row>
    <row r="4" spans="1:15" s="26" customFormat="1" ht="15" thickBot="1" x14ac:dyDescent="0.4">
      <c r="A4" s="25">
        <v>45467</v>
      </c>
      <c r="B4" s="26" t="s">
        <v>56</v>
      </c>
      <c r="D4" s="26" t="s">
        <v>58</v>
      </c>
      <c r="E4" s="27">
        <f>IF((E2/E3*5)=0,1,IF((E2/E3*5)&gt;=3,3,IF((E2/E3*5)=5,3,E2/E3*5)))</f>
        <v>2.5</v>
      </c>
      <c r="F4" s="27">
        <f>IF((F2/F3*5)=0,1,IF((F2/F3*5)&gt;=3,3,IF((F2/F3*5)=5,3,F2/F3*5)))</f>
        <v>3</v>
      </c>
      <c r="G4" s="27">
        <f>IF((G2/G3*5)=0,1,IF((G2/G3*5)&gt;=3,3,IF((G2/G3*5)=5,3,G2/G3*5)))</f>
        <v>1</v>
      </c>
      <c r="H4" s="27">
        <f>IF((H2/H3*5)=0,1,IF((H2/H3*5)&gt;=3,3,IF((H2/H3*5)=5,3,H2/H3*5)))</f>
        <v>1.875</v>
      </c>
      <c r="I4" s="27">
        <f>IF((I2/I3*5)=0,1,IF((I2/I3*5)&gt;=3,3,IF((I2/I3*5)=5,3,I2/I3*5)))</f>
        <v>2.5</v>
      </c>
      <c r="J4" s="27">
        <f t="shared" ref="J4:L4" si="0">IF((J2/J3*5)=0,1,IF((J2/J3*5)&gt;=3,3,IF((J2/J3*5)=5,3,J2/J3*5)))</f>
        <v>1.6666666666666665</v>
      </c>
      <c r="K4" s="27">
        <f t="shared" si="0"/>
        <v>1.6666666666666665</v>
      </c>
      <c r="L4" s="27">
        <f t="shared" si="0"/>
        <v>1.25</v>
      </c>
      <c r="M4" s="27"/>
      <c r="N4" s="27">
        <f>AVERAGE(J4:L4)</f>
        <v>1.5277777777777777</v>
      </c>
      <c r="O4" s="29" t="s">
        <v>63</v>
      </c>
    </row>
    <row r="5" spans="1:15" ht="15" thickBot="1" x14ac:dyDescent="0.4">
      <c r="A5" s="15"/>
    </row>
    <row r="6" spans="1:15" s="18" customFormat="1" x14ac:dyDescent="0.35">
      <c r="A6" s="17">
        <v>45467</v>
      </c>
      <c r="B6" s="18" t="s">
        <v>59</v>
      </c>
      <c r="D6" s="30" t="s">
        <v>62</v>
      </c>
      <c r="E6" s="19">
        <v>0.5</v>
      </c>
      <c r="F6" s="19">
        <v>0</v>
      </c>
      <c r="G6" s="19">
        <v>1</v>
      </c>
      <c r="H6" s="19">
        <v>2.5</v>
      </c>
      <c r="I6" s="19">
        <v>3.5</v>
      </c>
      <c r="J6" s="19">
        <v>1</v>
      </c>
      <c r="K6" s="19">
        <v>2</v>
      </c>
      <c r="L6" s="19">
        <v>2.5</v>
      </c>
      <c r="M6" s="19"/>
      <c r="O6" s="20"/>
    </row>
    <row r="7" spans="1:15" s="22" customFormat="1" x14ac:dyDescent="0.35">
      <c r="A7" s="21">
        <v>45467</v>
      </c>
      <c r="B7" s="22" t="s">
        <v>59</v>
      </c>
      <c r="D7" s="22" t="s">
        <v>57</v>
      </c>
      <c r="E7" s="23">
        <v>1</v>
      </c>
      <c r="F7" s="23">
        <v>1</v>
      </c>
      <c r="G7" s="23">
        <v>2</v>
      </c>
      <c r="H7" s="23">
        <v>4</v>
      </c>
      <c r="I7" s="23">
        <v>4</v>
      </c>
      <c r="J7" s="23">
        <v>3</v>
      </c>
      <c r="K7" s="23">
        <v>3</v>
      </c>
      <c r="L7" s="23">
        <v>4</v>
      </c>
      <c r="M7" s="23"/>
      <c r="O7" s="24"/>
    </row>
    <row r="8" spans="1:15" s="26" customFormat="1" ht="15" thickBot="1" x14ac:dyDescent="0.4">
      <c r="A8" s="25">
        <v>45467</v>
      </c>
      <c r="B8" s="26" t="s">
        <v>59</v>
      </c>
      <c r="D8" s="26" t="s">
        <v>58</v>
      </c>
      <c r="E8" s="27">
        <f>IF((E6/E7*5)=0,1,IF((E6/E7*5)&gt;=3,3,IF((E6/E7*5)=5,3,E6/E7*5)))</f>
        <v>2.5</v>
      </c>
      <c r="F8" s="27">
        <f>IF((F6/F7*5)=0,1,IF((F6/F7*5)&gt;=3,3,IF((F6/F7*5)=5,3,F6/F7*5)))</f>
        <v>1</v>
      </c>
      <c r="G8" s="27">
        <f>IF((G6/G7*5)=0,1,IF((G6/G7*5)&gt;=3,3,IF((G6/G7*5)=5,3,G6/G7*5)))</f>
        <v>2.5</v>
      </c>
      <c r="H8" s="27">
        <f>IF((H6/H7*5)=0,1,IF((H6/H7*5)&gt;=3,3,IF((H6/H7*5)=5,3,H6/H7*5)))</f>
        <v>3</v>
      </c>
      <c r="I8" s="27">
        <f>IF((I6/I7*5)=0,1,IF((I6/I7*5)&gt;=3,3,IF((I6/I7*5)=5,3,I6/I7*5)))</f>
        <v>3</v>
      </c>
      <c r="J8" s="27">
        <f t="shared" ref="J8:L8" si="1">IF((J6/J7*5)=0,1,IF((J6/J7*5)&gt;=3,3,IF((J6/J7*5)=5,3,J6/J7*5)))</f>
        <v>1.6666666666666665</v>
      </c>
      <c r="K8" s="27">
        <f t="shared" si="1"/>
        <v>3</v>
      </c>
      <c r="L8" s="27">
        <f t="shared" si="1"/>
        <v>3</v>
      </c>
      <c r="M8" s="27"/>
      <c r="N8" s="27">
        <f>AVERAGE(J8:L8)</f>
        <v>2.5555555555555554</v>
      </c>
      <c r="O8" s="28" t="s">
        <v>60</v>
      </c>
    </row>
    <row r="9" spans="1:15" ht="15" thickBot="1" x14ac:dyDescent="0.4">
      <c r="A9" s="15"/>
    </row>
    <row r="10" spans="1:15" x14ac:dyDescent="0.35">
      <c r="A10" s="17">
        <v>45467</v>
      </c>
      <c r="B10" s="18" t="s">
        <v>61</v>
      </c>
      <c r="C10" s="18"/>
      <c r="D10" s="30" t="s">
        <v>62</v>
      </c>
      <c r="E10" s="19">
        <v>0.5</v>
      </c>
      <c r="F10" s="19">
        <v>1</v>
      </c>
      <c r="G10" s="19">
        <f>0+1</f>
        <v>1</v>
      </c>
      <c r="H10" s="19">
        <f>0+1+1+1</f>
        <v>3</v>
      </c>
      <c r="I10" s="19">
        <f>1+1+1</f>
        <v>3</v>
      </c>
      <c r="J10" s="19">
        <f>0.6+0.2+1</f>
        <v>1.8</v>
      </c>
      <c r="K10" s="19">
        <f>1+1+1+1</f>
        <v>4</v>
      </c>
      <c r="L10" s="19">
        <f>1+1+0.5</f>
        <v>2.5</v>
      </c>
      <c r="M10" s="19"/>
      <c r="N10" s="18"/>
      <c r="O10" s="20"/>
    </row>
    <row r="11" spans="1:15" x14ac:dyDescent="0.35">
      <c r="A11" s="21">
        <v>45467</v>
      </c>
      <c r="B11" s="22" t="s">
        <v>61</v>
      </c>
      <c r="C11" s="22"/>
      <c r="D11" s="22" t="s">
        <v>57</v>
      </c>
      <c r="E11" s="23">
        <v>1</v>
      </c>
      <c r="F11" s="23">
        <v>1</v>
      </c>
      <c r="G11" s="23">
        <v>2</v>
      </c>
      <c r="H11" s="23">
        <v>4</v>
      </c>
      <c r="I11" s="23">
        <v>3</v>
      </c>
      <c r="J11" s="23">
        <v>3</v>
      </c>
      <c r="K11" s="23">
        <v>4</v>
      </c>
      <c r="L11" s="23">
        <v>4</v>
      </c>
      <c r="M11" s="23"/>
      <c r="N11" s="22"/>
      <c r="O11" s="24"/>
    </row>
    <row r="12" spans="1:15" ht="15" thickBot="1" x14ac:dyDescent="0.4">
      <c r="A12" s="25">
        <v>45467</v>
      </c>
      <c r="B12" s="26" t="s">
        <v>61</v>
      </c>
      <c r="C12" s="26"/>
      <c r="D12" s="26" t="s">
        <v>58</v>
      </c>
      <c r="E12" s="27">
        <f>IF((E10/E11*5)=0,1,IF((E10/E11*5)&gt;=3,3,IF((E10/E11*5)=5,3,E10/E11*5)))</f>
        <v>2.5</v>
      </c>
      <c r="F12" s="27">
        <f>IF((F10/F11*5)=0,1,IF((F10/F11*5)&gt;=3,3,IF((F10/F11*5)=5,3,F10/F11*5)))</f>
        <v>3</v>
      </c>
      <c r="G12" s="27">
        <f>IF((G10/G11*5)=0,1,IF((G10/G11*5)&gt;=3,3,IF((G10/G11*5)=5,3,G10/G11*5)))</f>
        <v>2.5</v>
      </c>
      <c r="H12" s="27">
        <f>IF((H10/H11*5)=0,1,IF((H10/H11*5)&gt;=3,3,IF((H10/H11*5)=5,3,H10/H11*5)))</f>
        <v>3</v>
      </c>
      <c r="I12" s="27">
        <f>IF((I10/I11*5)=0,1,IF((I10/I11*5)&gt;=3,3,IF((I10/I11*5)=5,3,I10/I11*5)))</f>
        <v>3</v>
      </c>
      <c r="J12" s="27">
        <f t="shared" ref="J12:L12" si="2">IF((J10/J11*5)=0,1,IF((J10/J11*5)&gt;=3,3,IF((J10/J11*5)=5,3,J10/J11*5)))</f>
        <v>3</v>
      </c>
      <c r="K12" s="27">
        <f t="shared" si="2"/>
        <v>3</v>
      </c>
      <c r="L12" s="27">
        <f t="shared" si="2"/>
        <v>3</v>
      </c>
      <c r="M12" s="27"/>
      <c r="N12" s="27">
        <f>AVERAGE(J12:L12)</f>
        <v>3</v>
      </c>
      <c r="O12" s="28" t="s">
        <v>60</v>
      </c>
    </row>
    <row r="13" spans="1:15" ht="15" thickBot="1" x14ac:dyDescent="0.4"/>
    <row r="14" spans="1:15" x14ac:dyDescent="0.35">
      <c r="A14" s="17">
        <v>45468</v>
      </c>
      <c r="B14" s="18" t="s">
        <v>64</v>
      </c>
      <c r="C14" s="18"/>
      <c r="D14" s="30" t="s">
        <v>62</v>
      </c>
      <c r="E14" s="19">
        <v>0</v>
      </c>
      <c r="F14" s="19">
        <v>0</v>
      </c>
      <c r="G14" s="19">
        <f>0+1</f>
        <v>1</v>
      </c>
      <c r="H14" s="19">
        <f>0+0+0+0</f>
        <v>0</v>
      </c>
      <c r="I14" s="19">
        <f>0.3+0+0.7</f>
        <v>1</v>
      </c>
      <c r="J14" s="19">
        <f>1+0</f>
        <v>1</v>
      </c>
      <c r="K14" s="19">
        <f>1+0+0.6</f>
        <v>1.6</v>
      </c>
      <c r="L14" s="19">
        <f>0.8+1+0.4+0</f>
        <v>2.2000000000000002</v>
      </c>
      <c r="M14" s="19"/>
      <c r="N14" s="18"/>
      <c r="O14" s="20"/>
    </row>
    <row r="15" spans="1:15" x14ac:dyDescent="0.35">
      <c r="A15" s="21">
        <v>45468</v>
      </c>
      <c r="B15" s="22" t="s">
        <v>64</v>
      </c>
      <c r="C15" s="22"/>
      <c r="D15" s="22" t="s">
        <v>57</v>
      </c>
      <c r="E15" s="23">
        <v>1</v>
      </c>
      <c r="F15" s="23">
        <v>1</v>
      </c>
      <c r="G15" s="23">
        <v>2</v>
      </c>
      <c r="H15" s="23">
        <v>4</v>
      </c>
      <c r="I15" s="23">
        <v>3</v>
      </c>
      <c r="J15" s="23">
        <v>2</v>
      </c>
      <c r="K15" s="23">
        <v>3</v>
      </c>
      <c r="L15" s="23">
        <v>4</v>
      </c>
      <c r="M15" s="23"/>
      <c r="N15" s="22"/>
      <c r="O15" s="24"/>
    </row>
    <row r="16" spans="1:15" ht="15" thickBot="1" x14ac:dyDescent="0.4">
      <c r="A16" s="25">
        <v>45468</v>
      </c>
      <c r="B16" s="26" t="s">
        <v>64</v>
      </c>
      <c r="C16" s="26"/>
      <c r="D16" s="26" t="s">
        <v>58</v>
      </c>
      <c r="E16" s="27">
        <f>IF((E14/E15*5)=0,1,IF((E14/E15*5)&gt;=3,3,IF((E14/E15*5)=5,3,E14/E15*5)))</f>
        <v>1</v>
      </c>
      <c r="F16" s="27">
        <f>IF((F14/F15*5)=0,1,IF((F14/F15*5)&gt;=3,3,IF((F14/F15*5)=5,3,F14/F15*5)))</f>
        <v>1</v>
      </c>
      <c r="G16" s="27">
        <f>IF((G14/G15*5)=0,1,IF((G14/G15*5)&gt;=3,3,IF((G14/G15*5)=5,3,G14/G15*5)))</f>
        <v>2.5</v>
      </c>
      <c r="H16" s="27">
        <f>IF((H14/H15*5)=0,1,IF((H14/H15*5)&gt;=3,3,IF((H14/H15*5)=5,3,H14/H15*5)))</f>
        <v>1</v>
      </c>
      <c r="I16" s="27">
        <f>IF((I14/I15*5)=0,1,IF((I14/I15*5)&gt;=3,3,IF((I14/I15*5)=5,3,I14/I15*5)))</f>
        <v>1.6666666666666665</v>
      </c>
      <c r="J16" s="27">
        <f t="shared" ref="J16:L16" si="3">IF((J14/J15*5)=0,1,IF((J14/J15*5)&gt;=3,3,IF((J14/J15*5)=5,3,J14/J15*5)))</f>
        <v>2.5</v>
      </c>
      <c r="K16" s="27">
        <f t="shared" si="3"/>
        <v>2.6666666666666665</v>
      </c>
      <c r="L16" s="27">
        <f t="shared" si="3"/>
        <v>2.75</v>
      </c>
      <c r="M16" s="27"/>
      <c r="N16" s="27">
        <f>AVERAGE(J16:L16)</f>
        <v>2.6388888888888888</v>
      </c>
      <c r="O16" s="28" t="s">
        <v>67</v>
      </c>
    </row>
    <row r="17" spans="1:15" ht="15" thickBot="1" x14ac:dyDescent="0.4"/>
    <row r="18" spans="1:15" x14ac:dyDescent="0.35">
      <c r="A18" s="17">
        <v>45468</v>
      </c>
      <c r="B18" s="18" t="s">
        <v>65</v>
      </c>
      <c r="C18" s="18"/>
      <c r="D18" s="30" t="s">
        <v>62</v>
      </c>
      <c r="E18" s="19">
        <v>1</v>
      </c>
      <c r="F18" s="19">
        <v>0</v>
      </c>
      <c r="G18" s="19">
        <f>1+1</f>
        <v>2</v>
      </c>
      <c r="H18" s="19">
        <f>1+0.6+0+0.7</f>
        <v>2.2999999999999998</v>
      </c>
      <c r="I18" s="19">
        <f>0.6+0.7+1+0.8</f>
        <v>3.0999999999999996</v>
      </c>
      <c r="J18" s="19">
        <f>0.5+0+0</f>
        <v>0.5</v>
      </c>
      <c r="K18" s="19">
        <f>0.5+0.6+1+0.5</f>
        <v>2.6</v>
      </c>
      <c r="L18" s="19">
        <f>1+1+0+1</f>
        <v>3</v>
      </c>
      <c r="M18" s="19"/>
      <c r="N18" s="18"/>
      <c r="O18" s="20"/>
    </row>
    <row r="19" spans="1:15" x14ac:dyDescent="0.35">
      <c r="A19" s="21">
        <v>45468</v>
      </c>
      <c r="B19" s="22" t="s">
        <v>65</v>
      </c>
      <c r="C19" s="22"/>
      <c r="D19" s="22" t="s">
        <v>57</v>
      </c>
      <c r="E19" s="23">
        <v>1</v>
      </c>
      <c r="F19" s="23">
        <v>1</v>
      </c>
      <c r="G19" s="23">
        <v>2</v>
      </c>
      <c r="H19" s="23">
        <v>4</v>
      </c>
      <c r="I19" s="23">
        <v>4</v>
      </c>
      <c r="J19" s="23">
        <v>3</v>
      </c>
      <c r="K19" s="23">
        <v>4</v>
      </c>
      <c r="L19" s="23">
        <v>4</v>
      </c>
      <c r="M19" s="23"/>
      <c r="N19" s="22"/>
      <c r="O19" s="24"/>
    </row>
    <row r="20" spans="1:15" ht="15" thickBot="1" x14ac:dyDescent="0.4">
      <c r="A20" s="25">
        <v>45468</v>
      </c>
      <c r="B20" s="26" t="s">
        <v>65</v>
      </c>
      <c r="C20" s="26"/>
      <c r="D20" s="26" t="s">
        <v>58</v>
      </c>
      <c r="E20" s="27">
        <f>IF((E18/E19*5)=0,1,IF((E18/E19*5)&gt;=3,3,IF((E18/E19*5)=5,3,E18/E19*5)))</f>
        <v>3</v>
      </c>
      <c r="F20" s="27">
        <f>IF((F18/F19*5)=0,1,IF((F18/F19*5)&gt;=3,3,IF((F18/F19*5)=5,3,F18/F19*5)))</f>
        <v>1</v>
      </c>
      <c r="G20" s="27">
        <f>IF((G18/G19*5)=0,1,IF((G18/G19*5)&gt;=3,3,IF((G18/G19*5)=5,3,G18/G19*5)))</f>
        <v>3</v>
      </c>
      <c r="H20" s="27">
        <f>IF((H18/H19*5)=0,1,IF((H18/H19*5)&gt;=3,3,IF((H18/H19*5)=5,3,H18/H19*5)))</f>
        <v>2.875</v>
      </c>
      <c r="I20" s="27">
        <f>IF((I18/I19*5)=0,1,IF((I18/I19*5)&gt;=3,3,IF((I18/I19*5)=5,3,I18/I19*5)))</f>
        <v>3</v>
      </c>
      <c r="J20" s="27">
        <f t="shared" ref="J20:L20" si="4">IF((J18/J19*5)=0,1,IF((J18/J19*5)&gt;=3,3,IF((J18/J19*5)=5,3,J18/J19*5)))</f>
        <v>0.83333333333333326</v>
      </c>
      <c r="K20" s="27">
        <f t="shared" si="4"/>
        <v>3</v>
      </c>
      <c r="L20" s="27">
        <f t="shared" si="4"/>
        <v>3</v>
      </c>
      <c r="M20" s="27"/>
      <c r="N20" s="27">
        <f>AVERAGE(J20:L20)</f>
        <v>2.2777777777777777</v>
      </c>
      <c r="O20" s="34" t="s">
        <v>66</v>
      </c>
    </row>
    <row r="21" spans="1:15" ht="15" thickBot="1" x14ac:dyDescent="0.4"/>
    <row r="22" spans="1:15" x14ac:dyDescent="0.35">
      <c r="A22" s="17">
        <v>45469</v>
      </c>
      <c r="B22" s="18" t="s">
        <v>68</v>
      </c>
      <c r="C22" s="18"/>
      <c r="D22" s="30" t="s">
        <v>62</v>
      </c>
      <c r="E22" s="19">
        <v>0</v>
      </c>
      <c r="F22" s="19">
        <v>0</v>
      </c>
      <c r="G22" s="19">
        <v>0</v>
      </c>
      <c r="H22" s="19">
        <f>0+0.5+0.5+0</f>
        <v>1</v>
      </c>
      <c r="I22" s="19">
        <f>1+0.5+0+0</f>
        <v>1.5</v>
      </c>
      <c r="J22" s="19">
        <f>1+0+0+0</f>
        <v>1</v>
      </c>
      <c r="K22" s="19">
        <f>0+0+0+0</f>
        <v>0</v>
      </c>
      <c r="L22" s="19">
        <f>0.5+0.5+0.4</f>
        <v>1.4</v>
      </c>
      <c r="M22" s="19"/>
      <c r="N22" s="18"/>
      <c r="O22" s="20"/>
    </row>
    <row r="23" spans="1:15" x14ac:dyDescent="0.35">
      <c r="A23" s="21">
        <v>45469</v>
      </c>
      <c r="B23" s="22" t="s">
        <v>68</v>
      </c>
      <c r="C23" s="22"/>
      <c r="D23" s="22" t="s">
        <v>57</v>
      </c>
      <c r="E23" s="23">
        <v>1</v>
      </c>
      <c r="F23" s="23">
        <v>1</v>
      </c>
      <c r="G23" s="23">
        <v>2</v>
      </c>
      <c r="H23" s="23">
        <v>4</v>
      </c>
      <c r="I23" s="23">
        <v>4</v>
      </c>
      <c r="J23" s="23">
        <v>3</v>
      </c>
      <c r="K23" s="23">
        <v>4</v>
      </c>
      <c r="L23" s="23">
        <v>3</v>
      </c>
      <c r="M23" s="23"/>
      <c r="N23" s="22"/>
      <c r="O23" s="24"/>
    </row>
    <row r="24" spans="1:15" ht="15" thickBot="1" x14ac:dyDescent="0.4">
      <c r="A24" s="25">
        <v>45469</v>
      </c>
      <c r="B24" s="26" t="s">
        <v>68</v>
      </c>
      <c r="C24" s="26"/>
      <c r="D24" s="26" t="s">
        <v>58</v>
      </c>
      <c r="E24" s="27">
        <f>IF((E22/E23*5)=0,1,IF((E22/E23*5)&gt;=3,3,IF((E22/E23*5)=5,3,E22/E23*5)))</f>
        <v>1</v>
      </c>
      <c r="F24" s="27">
        <f>IF((F22/F23*5)=0,1,IF((F22/F23*5)&gt;=3,3,IF((F22/F23*5)=5,3,F22/F23*5)))</f>
        <v>1</v>
      </c>
      <c r="G24" s="27">
        <f>IF((G22/G23*5)=0,1,IF((G22/G23*5)&gt;=3,3,IF((G22/G23*5)=5,3,G22/G23*5)))</f>
        <v>1</v>
      </c>
      <c r="H24" s="27">
        <f>IF((H22/H23*5)=0,1,IF((H22/H23*5)&gt;=3,3,IF((H22/H23*5)=5,3,H22/H23*5)))</f>
        <v>1.25</v>
      </c>
      <c r="I24" s="27">
        <f>IF((I22/I23*5)=0,1,IF((I22/I23*5)&gt;=3,3,IF((I22/I23*5)=5,3,I22/I23*5)))</f>
        <v>1.875</v>
      </c>
      <c r="J24" s="27">
        <f t="shared" ref="J24:L24" si="5">IF((J22/J23*5)=0,1,IF((J22/J23*5)&gt;=3,3,IF((J22/J23*5)=5,3,J22/J23*5)))</f>
        <v>1.6666666666666665</v>
      </c>
      <c r="K24" s="27">
        <f t="shared" si="5"/>
        <v>1</v>
      </c>
      <c r="L24" s="27">
        <f t="shared" si="5"/>
        <v>2.333333333333333</v>
      </c>
      <c r="M24" s="27">
        <v>0</v>
      </c>
      <c r="N24" s="27">
        <f>AVERAGE(J24:L24)</f>
        <v>1.6666666666666667</v>
      </c>
      <c r="O24" s="34" t="s">
        <v>70</v>
      </c>
    </row>
    <row r="25" spans="1:15" ht="15" thickBot="1" x14ac:dyDescent="0.4"/>
    <row r="26" spans="1:15" x14ac:dyDescent="0.35">
      <c r="A26" s="17">
        <v>45469</v>
      </c>
      <c r="B26" s="18" t="s">
        <v>69</v>
      </c>
      <c r="C26" s="18"/>
      <c r="D26" s="30" t="s">
        <v>62</v>
      </c>
      <c r="E26" s="19">
        <v>0</v>
      </c>
      <c r="F26" s="19">
        <v>0</v>
      </c>
      <c r="G26" s="19">
        <f>0+0</f>
        <v>0</v>
      </c>
      <c r="H26" s="19">
        <f>0.2+1+0.5+0</f>
        <v>1.7</v>
      </c>
      <c r="I26" s="19">
        <f>0.2+0.4+0.5+0</f>
        <v>1.1000000000000001</v>
      </c>
      <c r="J26" s="19">
        <f>0+0+0</f>
        <v>0</v>
      </c>
      <c r="K26" s="19">
        <f>0+0+1+1</f>
        <v>2</v>
      </c>
      <c r="L26" s="19">
        <f>0.4+0+0+0.3</f>
        <v>0.7</v>
      </c>
      <c r="M26" s="19"/>
      <c r="N26" s="18"/>
      <c r="O26" s="20"/>
    </row>
    <row r="27" spans="1:15" x14ac:dyDescent="0.35">
      <c r="A27" s="21">
        <v>45469</v>
      </c>
      <c r="B27" s="22" t="s">
        <v>69</v>
      </c>
      <c r="C27" s="22"/>
      <c r="D27" s="22" t="s">
        <v>57</v>
      </c>
      <c r="E27" s="23">
        <v>1</v>
      </c>
      <c r="F27" s="23">
        <v>1</v>
      </c>
      <c r="G27" s="23">
        <v>2</v>
      </c>
      <c r="H27" s="23">
        <v>4</v>
      </c>
      <c r="I27" s="23">
        <v>4</v>
      </c>
      <c r="J27" s="23">
        <v>3</v>
      </c>
      <c r="K27" s="23">
        <v>4</v>
      </c>
      <c r="L27" s="23">
        <v>4</v>
      </c>
      <c r="M27" s="23"/>
      <c r="N27" s="22"/>
      <c r="O27" s="24"/>
    </row>
    <row r="28" spans="1:15" ht="15" thickBot="1" x14ac:dyDescent="0.4">
      <c r="A28" s="25">
        <v>45469</v>
      </c>
      <c r="B28" s="26" t="s">
        <v>69</v>
      </c>
      <c r="C28" s="26"/>
      <c r="D28" s="26" t="s">
        <v>58</v>
      </c>
      <c r="E28" s="27">
        <f>IF((E26/E27*5)=0,1,IF((E26/E27*5)&gt;=3,3,IF((E26/E27*5)=5,3,E26/E27*5)))</f>
        <v>1</v>
      </c>
      <c r="F28" s="27">
        <f>IF((F26/F27*5)=0,1,IF((F26/F27*5)&gt;=3,3,IF((F26/F27*5)=5,3,F26/F27*5)))</f>
        <v>1</v>
      </c>
      <c r="G28" s="27">
        <f>IF((G26/G27*5)=0,1,IF((G26/G27*5)&gt;=3,3,IF((G26/G27*5)=5,3,G26/G27*5)))</f>
        <v>1</v>
      </c>
      <c r="H28" s="27">
        <f>IF((H26/H27*5)=0,1,IF((H26/H27*5)&gt;=3,3,IF((H26/H27*5)=5,3,H26/H27*5)))</f>
        <v>2.125</v>
      </c>
      <c r="I28" s="27">
        <f>IF((I26/I27*5)=0,1,IF((I26/I27*5)&gt;=3,3,IF((I26/I27*5)=5,3,I26/I27*5)))</f>
        <v>1.375</v>
      </c>
      <c r="J28" s="27">
        <f t="shared" ref="J28:L28" si="6">IF((J26/J27*5)=0,1,IF((J26/J27*5)&gt;=3,3,IF((J26/J27*5)=5,3,J26/J27*5)))</f>
        <v>1</v>
      </c>
      <c r="K28" s="27">
        <f t="shared" si="6"/>
        <v>2.5</v>
      </c>
      <c r="L28" s="27">
        <f t="shared" si="6"/>
        <v>0.875</v>
      </c>
      <c r="M28" s="27"/>
      <c r="N28" s="27">
        <f>AVERAGE(J28:L28)</f>
        <v>1.4583333333333333</v>
      </c>
      <c r="O28" s="34" t="s">
        <v>71</v>
      </c>
    </row>
    <row r="29" spans="1:15" ht="15" thickBot="1" x14ac:dyDescent="0.4"/>
    <row r="30" spans="1:15" x14ac:dyDescent="0.35">
      <c r="A30" s="17">
        <v>45470</v>
      </c>
      <c r="B30" s="18" t="s">
        <v>72</v>
      </c>
      <c r="C30" s="18"/>
      <c r="D30" s="30" t="s">
        <v>62</v>
      </c>
      <c r="E30" s="19">
        <v>1</v>
      </c>
      <c r="F30" s="19">
        <v>0.5</v>
      </c>
      <c r="G30" s="19">
        <f>0.5+1</f>
        <v>1.5</v>
      </c>
      <c r="H30" s="19">
        <f>1+1+0.7+0.2</f>
        <v>2.9000000000000004</v>
      </c>
      <c r="I30" s="19">
        <f>1+0.7+0.5+0</f>
        <v>2.2000000000000002</v>
      </c>
      <c r="J30" s="19">
        <f>0.5+0.7+0+0.4</f>
        <v>1.6</v>
      </c>
      <c r="K30" s="19">
        <f>1+0+1+0</f>
        <v>2</v>
      </c>
      <c r="L30" s="19">
        <f>0.7+0.5+0.5+0.7</f>
        <v>2.4</v>
      </c>
      <c r="M30" s="19"/>
      <c r="N30" s="18"/>
      <c r="O30" s="20"/>
    </row>
    <row r="31" spans="1:15" x14ac:dyDescent="0.35">
      <c r="A31" s="21">
        <v>45470</v>
      </c>
      <c r="B31" s="22" t="s">
        <v>72</v>
      </c>
      <c r="C31" s="22"/>
      <c r="D31" s="22" t="s">
        <v>57</v>
      </c>
      <c r="E31" s="23">
        <v>1</v>
      </c>
      <c r="F31" s="23">
        <v>1</v>
      </c>
      <c r="G31" s="23">
        <v>2</v>
      </c>
      <c r="H31" s="23">
        <v>4</v>
      </c>
      <c r="I31" s="23">
        <v>4</v>
      </c>
      <c r="J31" s="23">
        <v>3</v>
      </c>
      <c r="K31" s="23">
        <v>4</v>
      </c>
      <c r="L31" s="23">
        <v>4</v>
      </c>
      <c r="M31" s="23"/>
      <c r="N31" s="22"/>
      <c r="O31" s="24"/>
    </row>
    <row r="32" spans="1:15" ht="15" thickBot="1" x14ac:dyDescent="0.4">
      <c r="A32" s="25">
        <v>45470</v>
      </c>
      <c r="B32" s="26" t="s">
        <v>72</v>
      </c>
      <c r="C32" s="26"/>
      <c r="D32" s="26" t="s">
        <v>58</v>
      </c>
      <c r="E32" s="27">
        <f>IF((E30/E31*5)=0,1,IF((E30/E31*5)&gt;=3,3,IF((E30/E31*5)=5,3,E30/E31*5)))</f>
        <v>3</v>
      </c>
      <c r="F32" s="27">
        <f>IF((F30/F31*5)=0,1,IF((F30/F31*5)&gt;=3,3,IF((F30/F31*5)=5,3,F30/F31*5)))</f>
        <v>2.5</v>
      </c>
      <c r="G32" s="27">
        <f>IF((G30/G31*5)=0,1,IF((G30/G31*5)&gt;=3,3,IF((G30/G31*5)=5,3,G30/G31*5)))</f>
        <v>3</v>
      </c>
      <c r="H32" s="27">
        <f>IF((H30/H31*5)=0,1,IF((H30/H31*5)&gt;=3,3,IF((H30/H31*5)=5,3,H30/H31*5)))</f>
        <v>3</v>
      </c>
      <c r="I32" s="27">
        <f>IF((I30/I31*5)=0,1,IF((I30/I31*5)&gt;=3,3,IF((I30/I31*5)=5,3,I30/I31*5)))</f>
        <v>2.75</v>
      </c>
      <c r="J32" s="27">
        <f t="shared" ref="J32:L32" si="7">IF((J30/J31*5)=0,1,IF((J30/J31*5)&gt;=3,3,IF((J30/J31*5)=5,3,J30/J31*5)))</f>
        <v>2.6666666666666665</v>
      </c>
      <c r="K32" s="27">
        <f t="shared" si="7"/>
        <v>2.5</v>
      </c>
      <c r="L32" s="27">
        <f t="shared" si="7"/>
        <v>3</v>
      </c>
      <c r="M32" s="27">
        <v>0</v>
      </c>
      <c r="N32" s="27">
        <f>AVERAGE(J32:L32)</f>
        <v>2.7222222222222219</v>
      </c>
      <c r="O32" s="28" t="s">
        <v>60</v>
      </c>
    </row>
    <row r="33" spans="1:15" ht="15" thickBot="1" x14ac:dyDescent="0.4"/>
    <row r="34" spans="1:15" x14ac:dyDescent="0.35">
      <c r="A34" s="17">
        <v>45470</v>
      </c>
      <c r="B34" s="18" t="s">
        <v>73</v>
      </c>
      <c r="C34" s="18"/>
      <c r="D34" s="30" t="s">
        <v>62</v>
      </c>
      <c r="E34" s="19">
        <v>0</v>
      </c>
      <c r="F34" s="19">
        <f t="shared" ref="F34" si="8">0+0+0+0</f>
        <v>0</v>
      </c>
      <c r="G34" s="19">
        <f>0+0</f>
        <v>0</v>
      </c>
      <c r="H34" s="19">
        <f>0.5+0.5+0+0.5</f>
        <v>1.5</v>
      </c>
      <c r="I34" s="19">
        <f>0.7+0.4+0.7+0.5</f>
        <v>2.2999999999999998</v>
      </c>
      <c r="J34" s="19">
        <f>0+0.5+0</f>
        <v>0.5</v>
      </c>
      <c r="K34" s="19">
        <f>0+0.5+0.5+0</f>
        <v>1</v>
      </c>
      <c r="L34" s="19">
        <f>0.5+0.3+0.5+0.6</f>
        <v>1.9</v>
      </c>
      <c r="M34" s="19"/>
      <c r="N34" s="18"/>
      <c r="O34" s="20"/>
    </row>
    <row r="35" spans="1:15" x14ac:dyDescent="0.35">
      <c r="A35" s="21">
        <v>45470</v>
      </c>
      <c r="B35" s="22" t="s">
        <v>73</v>
      </c>
      <c r="C35" s="22"/>
      <c r="D35" s="22" t="s">
        <v>57</v>
      </c>
      <c r="E35" s="23">
        <v>1</v>
      </c>
      <c r="F35" s="23">
        <v>1</v>
      </c>
      <c r="G35" s="23">
        <v>2</v>
      </c>
      <c r="H35" s="23">
        <v>4</v>
      </c>
      <c r="I35" s="23">
        <v>4</v>
      </c>
      <c r="J35" s="23">
        <v>3</v>
      </c>
      <c r="K35" s="23">
        <v>4</v>
      </c>
      <c r="L35" s="23">
        <v>4</v>
      </c>
      <c r="M35" s="23"/>
      <c r="N35" s="22"/>
      <c r="O35" s="24"/>
    </row>
    <row r="36" spans="1:15" ht="15" thickBot="1" x14ac:dyDescent="0.4">
      <c r="A36" s="25">
        <v>45470</v>
      </c>
      <c r="B36" s="26" t="s">
        <v>73</v>
      </c>
      <c r="C36" s="26"/>
      <c r="D36" s="26" t="s">
        <v>58</v>
      </c>
      <c r="E36" s="27">
        <f t="shared" ref="E36" si="9">IF((E34/E35*5)=0,1,IF((E34/E35*5)&gt;=3,3,IF((E34/E35*5)=5,3,E34/E35*5)))</f>
        <v>1</v>
      </c>
      <c r="F36" s="27">
        <f t="shared" ref="F36" si="10">IF((F34/F35*5)=0,1,IF((F34/F35*5)&gt;=3,3,IF((F34/F35*5)=5,3,F34/F35*5)))</f>
        <v>1</v>
      </c>
      <c r="G36" s="27">
        <f t="shared" ref="G36" si="11">IF((G34/G35*5)=0,1,IF((G34/G35*5)&gt;=3,3,IF((G34/G35*5)=5,3,G34/G35*5)))</f>
        <v>1</v>
      </c>
      <c r="H36" s="27">
        <f t="shared" ref="H36" si="12">IF((H34/H35*5)=0,1,IF((H34/H35*5)&gt;=3,3,IF((H34/H35*5)=5,3,H34/H35*5)))</f>
        <v>1.875</v>
      </c>
      <c r="I36" s="27">
        <f t="shared" ref="I36" si="13">IF((I34/I35*5)=0,1,IF((I34/I35*5)&gt;=3,3,IF((I34/I35*5)=5,3,I34/I35*5)))</f>
        <v>2.875</v>
      </c>
      <c r="J36" s="27">
        <f t="shared" ref="J36" si="14">IF((J34/J35*5)=0,1,IF((J34/J35*5)&gt;=3,3,IF((J34/J35*5)=5,3,J34/J35*5)))</f>
        <v>0.83333333333333326</v>
      </c>
      <c r="K36" s="27">
        <f t="shared" ref="K36" si="15">IF((K34/K35*5)=0,1,IF((K34/K35*5)&gt;=3,3,IF((K34/K35*5)=5,3,K34/K35*5)))</f>
        <v>1.25</v>
      </c>
      <c r="L36" s="27">
        <f t="shared" ref="L36" si="16">IF((L34/L35*5)=0,1,IF((L34/L35*5)&gt;=3,3,IF((L34/L35*5)=5,3,L34/L35*5)))</f>
        <v>2.375</v>
      </c>
      <c r="M36" s="27"/>
      <c r="N36" s="27">
        <f>AVERAGE(J36:L36)</f>
        <v>1.4861111111111109</v>
      </c>
      <c r="O36" s="34" t="s">
        <v>75</v>
      </c>
    </row>
    <row r="37" spans="1:15" ht="15" thickBot="1" x14ac:dyDescent="0.4"/>
    <row r="38" spans="1:15" x14ac:dyDescent="0.35">
      <c r="A38" s="17">
        <v>45470</v>
      </c>
      <c r="B38" s="18" t="s">
        <v>74</v>
      </c>
      <c r="C38" s="18"/>
      <c r="D38" s="30" t="s">
        <v>62</v>
      </c>
      <c r="E38" s="19">
        <v>0</v>
      </c>
      <c r="F38" s="19">
        <v>0</v>
      </c>
      <c r="G38" s="19">
        <f>1+0.2</f>
        <v>1.2</v>
      </c>
      <c r="H38" s="19">
        <f>0.5+0.7+0.6+0.5</f>
        <v>2.2999999999999998</v>
      </c>
      <c r="I38" s="19">
        <f>1+1+0.6+0</f>
        <v>2.6</v>
      </c>
      <c r="J38" s="19">
        <f>0.8+0.9+0.3</f>
        <v>2</v>
      </c>
      <c r="K38" s="19">
        <f>1+1+1+1</f>
        <v>4</v>
      </c>
      <c r="L38" s="19">
        <f>0.5+1+0.4+1</f>
        <v>2.9</v>
      </c>
      <c r="M38" s="19"/>
      <c r="N38" s="18"/>
      <c r="O38" s="20"/>
    </row>
    <row r="39" spans="1:15" x14ac:dyDescent="0.35">
      <c r="A39" s="21">
        <v>45470</v>
      </c>
      <c r="B39" s="22" t="s">
        <v>74</v>
      </c>
      <c r="C39" s="22"/>
      <c r="D39" s="22" t="s">
        <v>57</v>
      </c>
      <c r="E39" s="23">
        <v>1</v>
      </c>
      <c r="F39" s="23">
        <v>1</v>
      </c>
      <c r="G39" s="23">
        <v>2</v>
      </c>
      <c r="H39" s="23">
        <v>4</v>
      </c>
      <c r="I39" s="23">
        <v>4</v>
      </c>
      <c r="J39" s="23">
        <v>3</v>
      </c>
      <c r="K39" s="23">
        <v>4</v>
      </c>
      <c r="L39" s="23">
        <v>4</v>
      </c>
      <c r="M39" s="23"/>
      <c r="N39" s="22"/>
      <c r="O39" s="24"/>
    </row>
    <row r="40" spans="1:15" ht="15" thickBot="1" x14ac:dyDescent="0.4">
      <c r="A40" s="25">
        <v>45470</v>
      </c>
      <c r="B40" s="26" t="s">
        <v>74</v>
      </c>
      <c r="C40" s="26"/>
      <c r="D40" s="26" t="s">
        <v>58</v>
      </c>
      <c r="E40" s="27">
        <f t="shared" ref="E40" si="17">IF((E38/E39*5)=0,1,IF((E38/E39*5)&gt;=3,3,IF((E38/E39*5)=5,3,E38/E39*5)))</f>
        <v>1</v>
      </c>
      <c r="F40" s="27">
        <f t="shared" ref="F40" si="18">IF((F38/F39*5)=0,1,IF((F38/F39*5)&gt;=3,3,IF((F38/F39*5)=5,3,F38/F39*5)))</f>
        <v>1</v>
      </c>
      <c r="G40" s="27">
        <f t="shared" ref="G40" si="19">IF((G38/G39*5)=0,1,IF((G38/G39*5)&gt;=3,3,IF((G38/G39*5)=5,3,G38/G39*5)))</f>
        <v>3</v>
      </c>
      <c r="H40" s="27">
        <f t="shared" ref="H40" si="20">IF((H38/H39*5)=0,1,IF((H38/H39*5)&gt;=3,3,IF((H38/H39*5)=5,3,H38/H39*5)))</f>
        <v>2.875</v>
      </c>
      <c r="I40" s="27">
        <f t="shared" ref="I40" si="21">IF((I38/I39*5)=0,1,IF((I38/I39*5)&gt;=3,3,IF((I38/I39*5)=5,3,I38/I39*5)))</f>
        <v>3</v>
      </c>
      <c r="J40" s="27">
        <f t="shared" ref="J40" si="22">IF((J38/J39*5)=0,1,IF((J38/J39*5)&gt;=3,3,IF((J38/J39*5)=5,3,J38/J39*5)))</f>
        <v>3</v>
      </c>
      <c r="K40" s="27">
        <f t="shared" ref="K40" si="23">IF((K38/K39*5)=0,1,IF((K38/K39*5)&gt;=3,3,IF((K38/K39*5)=5,3,K38/K39*5)))</f>
        <v>3</v>
      </c>
      <c r="L40" s="27">
        <f t="shared" ref="L40" si="24">IF((L38/L39*5)=0,1,IF((L38/L39*5)&gt;=3,3,IF((L38/L39*5)=5,3,L38/L39*5)))</f>
        <v>3</v>
      </c>
      <c r="M40" s="27"/>
      <c r="N40" s="27">
        <f>AVERAGE(J40:L40)</f>
        <v>3</v>
      </c>
      <c r="O40" s="34" t="s">
        <v>76</v>
      </c>
    </row>
    <row r="41" spans="1:15" ht="15" thickBot="1" x14ac:dyDescent="0.4"/>
    <row r="42" spans="1:15" x14ac:dyDescent="0.35">
      <c r="A42" s="17">
        <v>45471</v>
      </c>
      <c r="B42" s="18" t="s">
        <v>77</v>
      </c>
      <c r="C42" s="18"/>
      <c r="D42" s="30" t="s">
        <v>62</v>
      </c>
      <c r="E42" s="19">
        <v>0</v>
      </c>
      <c r="F42" s="19">
        <v>0</v>
      </c>
      <c r="G42" s="19">
        <f>0.5+1</f>
        <v>1.5</v>
      </c>
      <c r="H42" s="19">
        <f>0+0.8+0+0.5</f>
        <v>1.3</v>
      </c>
      <c r="I42" s="19">
        <f>0.4+0.2+0.4+0.7</f>
        <v>1.7</v>
      </c>
      <c r="J42" s="19">
        <f>1+0.5+0</f>
        <v>1.5</v>
      </c>
      <c r="K42" s="19">
        <f>0.5+0.7+1</f>
        <v>2.2000000000000002</v>
      </c>
      <c r="L42" s="19">
        <f>0.7+0+0+0</f>
        <v>0.7</v>
      </c>
      <c r="M42" s="19"/>
      <c r="N42" s="18"/>
      <c r="O42" s="20"/>
    </row>
    <row r="43" spans="1:15" x14ac:dyDescent="0.35">
      <c r="A43" s="21">
        <v>45471</v>
      </c>
      <c r="B43" s="22" t="s">
        <v>77</v>
      </c>
      <c r="C43" s="22"/>
      <c r="D43" s="22" t="s">
        <v>57</v>
      </c>
      <c r="E43" s="23">
        <v>1</v>
      </c>
      <c r="F43" s="23">
        <v>1</v>
      </c>
      <c r="G43" s="23">
        <v>2</v>
      </c>
      <c r="H43" s="23">
        <v>4</v>
      </c>
      <c r="I43" s="23">
        <v>4</v>
      </c>
      <c r="J43" s="23">
        <v>3</v>
      </c>
      <c r="K43" s="23">
        <v>4</v>
      </c>
      <c r="L43" s="23">
        <v>4</v>
      </c>
      <c r="M43" s="23"/>
      <c r="N43" s="22"/>
      <c r="O43" s="24"/>
    </row>
    <row r="44" spans="1:15" ht="15" thickBot="1" x14ac:dyDescent="0.4">
      <c r="A44" s="25">
        <v>45471</v>
      </c>
      <c r="B44" s="26" t="s">
        <v>77</v>
      </c>
      <c r="C44" s="26"/>
      <c r="D44" s="26" t="s">
        <v>58</v>
      </c>
      <c r="E44" s="27">
        <f>IF((E42/E43*5)=0,1,IF((E42/E43*5)&gt;=3,3,IF((E42/E43*5)=5,3,E42/E43*5)))</f>
        <v>1</v>
      </c>
      <c r="F44" s="27">
        <f>IF((F42/F43*5)=0,1,IF((F42/F43*5)&gt;=3,3,IF((F42/F43*5)=5,3,F42/F43*5)))</f>
        <v>1</v>
      </c>
      <c r="G44" s="27">
        <f>IF((G42/G43*5)=0,1,IF((G42/G43*5)&gt;=3,3,IF((G42/G43*5)=5,3,G42/G43*5)))</f>
        <v>3</v>
      </c>
      <c r="H44" s="27">
        <f>IF((H42/H43*5)=0,1,IF((H42/H43*5)&gt;=3,3,IF((H42/H43*5)=5,3,H42/H43*5)))</f>
        <v>1.625</v>
      </c>
      <c r="I44" s="27">
        <f>IF((I42/I43*5)=0,1,IF((I42/I43*5)&gt;=3,3,IF((I42/I43*5)=5,3,I42/I43*5)))</f>
        <v>2.125</v>
      </c>
      <c r="J44" s="27">
        <f t="shared" ref="J44:L44" si="25">IF((J42/J43*5)=0,1,IF((J42/J43*5)&gt;=3,3,IF((J42/J43*5)=5,3,J42/J43*5)))</f>
        <v>2.5</v>
      </c>
      <c r="K44" s="27">
        <f t="shared" si="25"/>
        <v>2.75</v>
      </c>
      <c r="L44" s="27">
        <f t="shared" si="25"/>
        <v>0.875</v>
      </c>
      <c r="M44" s="27"/>
      <c r="N44" s="27">
        <f>AVERAGE(J44:L44)</f>
        <v>2.0416666666666665</v>
      </c>
      <c r="O44" s="34" t="s">
        <v>79</v>
      </c>
    </row>
    <row r="45" spans="1:15" ht="15" thickBot="1" x14ac:dyDescent="0.4"/>
    <row r="46" spans="1:15" x14ac:dyDescent="0.35">
      <c r="A46" s="17">
        <v>45471</v>
      </c>
      <c r="B46" s="18" t="s">
        <v>78</v>
      </c>
      <c r="C46" s="18"/>
      <c r="D46" s="30" t="s">
        <v>62</v>
      </c>
      <c r="E46" s="19">
        <v>0.5</v>
      </c>
      <c r="F46" s="19">
        <v>0</v>
      </c>
      <c r="G46" s="19">
        <f>0.5+1</f>
        <v>1.5</v>
      </c>
      <c r="H46" s="19">
        <f>0.5+0.3+0.5+0.6</f>
        <v>1.9</v>
      </c>
      <c r="I46" s="19">
        <f>0.8+0+0.7+0.9</f>
        <v>2.4</v>
      </c>
      <c r="J46" s="19">
        <f>0.8+0.8+0.5</f>
        <v>2.1</v>
      </c>
      <c r="K46" s="19">
        <f>0.8+0.5+0.8+0</f>
        <v>2.1</v>
      </c>
      <c r="L46" s="19">
        <f>1+0.5+0.7+0.7</f>
        <v>2.9000000000000004</v>
      </c>
      <c r="M46" s="19"/>
      <c r="N46" s="18"/>
      <c r="O46" s="20"/>
    </row>
    <row r="47" spans="1:15" x14ac:dyDescent="0.35">
      <c r="A47" s="21">
        <v>45471</v>
      </c>
      <c r="B47" s="22" t="s">
        <v>78</v>
      </c>
      <c r="C47" s="22"/>
      <c r="D47" s="22" t="s">
        <v>57</v>
      </c>
      <c r="E47" s="23">
        <v>1</v>
      </c>
      <c r="F47" s="23">
        <v>1</v>
      </c>
      <c r="G47" s="23">
        <v>2</v>
      </c>
      <c r="H47" s="23">
        <v>4</v>
      </c>
      <c r="I47" s="23">
        <v>4</v>
      </c>
      <c r="J47" s="23">
        <v>3</v>
      </c>
      <c r="K47" s="23">
        <v>4</v>
      </c>
      <c r="L47" s="23">
        <v>4</v>
      </c>
      <c r="M47" s="23"/>
      <c r="N47" s="22"/>
      <c r="O47" s="24"/>
    </row>
    <row r="48" spans="1:15" ht="15" thickBot="1" x14ac:dyDescent="0.4">
      <c r="A48" s="25">
        <v>45471</v>
      </c>
      <c r="B48" s="26" t="s">
        <v>78</v>
      </c>
      <c r="C48" s="26"/>
      <c r="D48" s="26" t="s">
        <v>58</v>
      </c>
      <c r="E48" s="27">
        <f>IF((E46/E47*5)=0,1,IF((E46/E47*5)&gt;=3,3,IF((E46/E47*5)=5,3,E46/E47*5)))</f>
        <v>2.5</v>
      </c>
      <c r="F48" s="27">
        <f>IF((F46/F47*5)=0,1,IF((F46/F47*5)&gt;=3,3,IF((F46/F47*5)=5,3,F46/F47*5)))</f>
        <v>1</v>
      </c>
      <c r="G48" s="27">
        <f>IF((G46/G47*5)=0,1,IF((G46/G47*5)&gt;=3,3,IF((G46/G47*5)=5,3,G46/G47*5)))</f>
        <v>3</v>
      </c>
      <c r="H48" s="27">
        <f>IF((H46/H47*5)=0,1,IF((H46/H47*5)&gt;=3,3,IF((H46/H47*5)=5,3,H46/H47*5)))</f>
        <v>2.375</v>
      </c>
      <c r="I48" s="27">
        <f>IF((I46/I47*5)=0,1,IF((I46/I47*5)&gt;=3,3,IF((I46/I47*5)=5,3,I46/I47*5)))</f>
        <v>3</v>
      </c>
      <c r="J48" s="27">
        <f t="shared" ref="J48:L48" si="26">IF((J46/J47*5)=0,1,IF((J46/J47*5)&gt;=3,3,IF((J46/J47*5)=5,3,J46/J47*5)))</f>
        <v>3</v>
      </c>
      <c r="K48" s="27">
        <f t="shared" si="26"/>
        <v>2.625</v>
      </c>
      <c r="L48" s="27">
        <f t="shared" si="26"/>
        <v>3</v>
      </c>
      <c r="M48" s="27"/>
      <c r="N48" s="27">
        <f>AVERAGE(J48:L48)</f>
        <v>2.875</v>
      </c>
      <c r="O48" s="28" t="s">
        <v>80</v>
      </c>
    </row>
    <row r="49" spans="1:15" ht="15" thickBot="1" x14ac:dyDescent="0.4"/>
    <row r="50" spans="1:15" x14ac:dyDescent="0.35">
      <c r="A50" s="17">
        <v>45474</v>
      </c>
      <c r="B50" s="18" t="s">
        <v>81</v>
      </c>
      <c r="C50" s="18"/>
      <c r="D50" s="30" t="s">
        <v>62</v>
      </c>
      <c r="E50" s="19">
        <v>0.4</v>
      </c>
      <c r="F50" s="19">
        <v>0</v>
      </c>
      <c r="G50" s="19">
        <f>0+0</f>
        <v>0</v>
      </c>
      <c r="H50" s="19">
        <f>0.7+0.4+0.6+0.5</f>
        <v>2.2000000000000002</v>
      </c>
      <c r="I50" s="19">
        <f>0.7+0.5+0+0.2</f>
        <v>1.4</v>
      </c>
      <c r="J50" s="19">
        <f>1+0.5+0.6</f>
        <v>2.1</v>
      </c>
      <c r="K50" s="19">
        <f>0.5+0.5+0.2+0</f>
        <v>1.2</v>
      </c>
      <c r="L50" s="19">
        <f>0+0.4+0.7+0.4</f>
        <v>1.5</v>
      </c>
      <c r="M50" s="19"/>
      <c r="N50" s="18"/>
      <c r="O50" s="20"/>
    </row>
    <row r="51" spans="1:15" x14ac:dyDescent="0.35">
      <c r="A51" s="21">
        <v>45474</v>
      </c>
      <c r="B51" s="22" t="s">
        <v>81</v>
      </c>
      <c r="C51" s="22"/>
      <c r="D51" s="22" t="s">
        <v>57</v>
      </c>
      <c r="E51" s="23">
        <v>1</v>
      </c>
      <c r="F51" s="23">
        <v>1</v>
      </c>
      <c r="G51" s="23">
        <v>2</v>
      </c>
      <c r="H51" s="23">
        <v>4</v>
      </c>
      <c r="I51" s="23">
        <v>4</v>
      </c>
      <c r="J51" s="23">
        <v>3</v>
      </c>
      <c r="K51" s="23">
        <v>4</v>
      </c>
      <c r="L51" s="23">
        <v>4</v>
      </c>
      <c r="M51" s="23"/>
      <c r="N51" s="22"/>
      <c r="O51" s="24"/>
    </row>
    <row r="52" spans="1:15" ht="15" thickBot="1" x14ac:dyDescent="0.4">
      <c r="A52" s="25">
        <v>45474</v>
      </c>
      <c r="B52" s="26" t="s">
        <v>81</v>
      </c>
      <c r="C52" s="26"/>
      <c r="D52" s="26" t="s">
        <v>58</v>
      </c>
      <c r="E52" s="27">
        <f>IF((E50/E51*5)=0,1,IF((E50/E51*5)&gt;=3,3,IF((E50/E51*5)=5,3,E50/E51*5)))</f>
        <v>2</v>
      </c>
      <c r="F52" s="27">
        <f>IF((F50/F51*5)=0,1,IF((F50/F51*5)&gt;=3,3,IF((F50/F51*5)=5,3,F50/F51*5)))</f>
        <v>1</v>
      </c>
      <c r="G52" s="27">
        <f>IF((G50/G51*5)=0,1,IF((G50/G51*5)&gt;=3,3,IF((G50/G51*5)=5,3,G50/G51*5)))</f>
        <v>1</v>
      </c>
      <c r="H52" s="27">
        <f>IF((H50/H51*5)=0,1,IF((H50/H51*5)&gt;=3,3,IF((H50/H51*5)=5,3,H50/H51*5)))</f>
        <v>2.75</v>
      </c>
      <c r="I52" s="27">
        <f>IF((I50/I51*5)=0,1,IF((I50/I51*5)&gt;=3,3,IF((I50/I51*5)=5,3,I50/I51*5)))</f>
        <v>1.75</v>
      </c>
      <c r="J52" s="27">
        <f t="shared" ref="J52:L52" si="27">IF((J50/J51*5)=0,1,IF((J50/J51*5)&gt;=3,3,IF((J50/J51*5)=5,3,J50/J51*5)))</f>
        <v>3</v>
      </c>
      <c r="K52" s="27">
        <f t="shared" si="27"/>
        <v>1.5</v>
      </c>
      <c r="L52" s="27">
        <f t="shared" si="27"/>
        <v>1.875</v>
      </c>
      <c r="M52" s="27"/>
      <c r="N52" s="27">
        <f>AVERAGE(J52:L52)</f>
        <v>2.125</v>
      </c>
      <c r="O52" s="34" t="s">
        <v>79</v>
      </c>
    </row>
    <row r="53" spans="1:15" ht="15" thickBot="1" x14ac:dyDescent="0.4"/>
    <row r="54" spans="1:15" x14ac:dyDescent="0.35">
      <c r="A54" s="17">
        <v>45474</v>
      </c>
      <c r="B54" s="18" t="s">
        <v>82</v>
      </c>
      <c r="C54" s="18"/>
      <c r="D54" s="30" t="s">
        <v>62</v>
      </c>
      <c r="E54" s="19">
        <v>0</v>
      </c>
      <c r="F54" s="19">
        <v>0</v>
      </c>
      <c r="G54" s="19">
        <f>1+0</f>
        <v>1</v>
      </c>
      <c r="H54" s="19">
        <f>0.5+0+0+0.7</f>
        <v>1.2</v>
      </c>
      <c r="I54" s="19">
        <f>0.7+0.7+0+0</f>
        <v>1.4</v>
      </c>
      <c r="J54" s="19">
        <f>1+0.3+0</f>
        <v>1.3</v>
      </c>
      <c r="K54" s="19">
        <f>0.3+0.2+0+0</f>
        <v>0.5</v>
      </c>
      <c r="L54" s="19">
        <f>0.2+0.2+0.2+1</f>
        <v>1.6</v>
      </c>
      <c r="M54" s="19"/>
      <c r="N54" s="18"/>
      <c r="O54" s="20"/>
    </row>
    <row r="55" spans="1:15" x14ac:dyDescent="0.35">
      <c r="A55" s="21">
        <v>45474</v>
      </c>
      <c r="B55" s="22" t="s">
        <v>82</v>
      </c>
      <c r="C55" s="22"/>
      <c r="D55" s="22" t="s">
        <v>57</v>
      </c>
      <c r="E55" s="23">
        <v>1</v>
      </c>
      <c r="F55" s="23">
        <v>1</v>
      </c>
      <c r="G55" s="23">
        <v>2</v>
      </c>
      <c r="H55" s="23">
        <v>4</v>
      </c>
      <c r="I55" s="23">
        <v>4</v>
      </c>
      <c r="J55" s="23">
        <v>3</v>
      </c>
      <c r="K55" s="23">
        <v>4</v>
      </c>
      <c r="L55" s="23">
        <v>4</v>
      </c>
      <c r="M55" s="23"/>
      <c r="N55" s="22"/>
      <c r="O55" s="24"/>
    </row>
    <row r="56" spans="1:15" ht="15" thickBot="1" x14ac:dyDescent="0.4">
      <c r="A56" s="25">
        <v>45474</v>
      </c>
      <c r="B56" s="26" t="s">
        <v>82</v>
      </c>
      <c r="C56" s="26"/>
      <c r="D56" s="26" t="s">
        <v>58</v>
      </c>
      <c r="E56" s="27">
        <f>IF((E54/E55*5)=0,1,IF((E54/E55*5)&gt;=3,3,IF((E54/E55*5)=5,3,E54/E55*5)))</f>
        <v>1</v>
      </c>
      <c r="F56" s="27">
        <f>IF((F54/F55*5)=0,1,IF((F54/F55*5)&gt;=3,3,IF((F54/F55*5)=5,3,F54/F55*5)))</f>
        <v>1</v>
      </c>
      <c r="G56" s="27">
        <f>IF((G54/G55*5)=0,1,IF((G54/G55*5)&gt;=3,3,IF((G54/G55*5)=5,3,G54/G55*5)))</f>
        <v>2.5</v>
      </c>
      <c r="H56" s="27">
        <f>IF((H54/H55*5)=0,1,IF((H54/H55*5)&gt;=3,3,IF((H54/H55*5)=5,3,H54/H55*5)))</f>
        <v>1.5</v>
      </c>
      <c r="I56" s="27">
        <f>IF((I54/I55*5)=0,1,IF((I54/I55*5)&gt;=3,3,IF((I54/I55*5)=5,3,I54/I55*5)))</f>
        <v>1.75</v>
      </c>
      <c r="J56" s="27">
        <f t="shared" ref="J56:L56" si="28">IF((J54/J55*5)=0,1,IF((J54/J55*5)&gt;=3,3,IF((J54/J55*5)=5,3,J54/J55*5)))</f>
        <v>2.166666666666667</v>
      </c>
      <c r="K56" s="27">
        <f t="shared" si="28"/>
        <v>0.625</v>
      </c>
      <c r="L56" s="27">
        <f t="shared" si="28"/>
        <v>2</v>
      </c>
      <c r="M56" s="27"/>
      <c r="N56" s="27">
        <f>AVERAGE(J56:L56)</f>
        <v>1.5972222222222223</v>
      </c>
      <c r="O56" s="34" t="s">
        <v>83</v>
      </c>
    </row>
    <row r="57" spans="1:15" ht="15" thickBot="1" x14ac:dyDescent="0.4"/>
    <row r="58" spans="1:15" ht="15" thickBot="1" x14ac:dyDescent="0.4">
      <c r="A58" s="17">
        <v>45475</v>
      </c>
      <c r="B58" s="18" t="s">
        <v>84</v>
      </c>
      <c r="C58" s="18"/>
      <c r="D58" s="30" t="s">
        <v>62</v>
      </c>
      <c r="E58" s="19">
        <v>0</v>
      </c>
      <c r="F58" s="19">
        <v>0</v>
      </c>
      <c r="G58" s="19">
        <f>0+0</f>
        <v>0</v>
      </c>
      <c r="H58" s="19">
        <f>0.5+1+0.4+0</f>
        <v>1.9</v>
      </c>
      <c r="I58" s="19">
        <f>0.6+0.4+0.7+0</f>
        <v>1.7</v>
      </c>
      <c r="J58" s="19">
        <f>0.5+1+0.5</f>
        <v>2</v>
      </c>
      <c r="K58" s="19">
        <f>1+0.5+0.5+0.5</f>
        <v>2.5</v>
      </c>
      <c r="L58" s="19">
        <f>1+0+0.4+0</f>
        <v>1.4</v>
      </c>
      <c r="M58" s="19"/>
      <c r="N58" s="18"/>
      <c r="O58" s="20"/>
    </row>
    <row r="59" spans="1:15" ht="15" thickBot="1" x14ac:dyDescent="0.4">
      <c r="A59" s="17">
        <v>45475</v>
      </c>
      <c r="B59" s="18" t="s">
        <v>84</v>
      </c>
      <c r="C59" s="22"/>
      <c r="D59" s="22" t="s">
        <v>57</v>
      </c>
      <c r="E59" s="23">
        <v>1</v>
      </c>
      <c r="F59" s="23">
        <v>1</v>
      </c>
      <c r="G59" s="23">
        <v>2</v>
      </c>
      <c r="H59" s="23">
        <v>4</v>
      </c>
      <c r="I59" s="23">
        <v>4</v>
      </c>
      <c r="J59" s="23">
        <v>3</v>
      </c>
      <c r="K59" s="23">
        <v>4</v>
      </c>
      <c r="L59" s="23">
        <v>4</v>
      </c>
      <c r="M59" s="23"/>
      <c r="N59" s="22"/>
      <c r="O59" s="24"/>
    </row>
    <row r="60" spans="1:15" ht="15" thickBot="1" x14ac:dyDescent="0.4">
      <c r="A60" s="17">
        <v>45475</v>
      </c>
      <c r="B60" s="18" t="s">
        <v>84</v>
      </c>
      <c r="C60" s="26"/>
      <c r="D60" s="26" t="s">
        <v>58</v>
      </c>
      <c r="E60" s="27">
        <f>IF((E58/E59*5)=0,1,IF((E58/E59*5)&gt;=3,3,IF((E58/E59*5)=5,3,E58/E59*5)))</f>
        <v>1</v>
      </c>
      <c r="F60" s="27">
        <f>IF((F58/F59*5)=0,1,IF((F58/F59*5)&gt;=3,3,IF((F58/F59*5)=5,3,F58/F59*5)))</f>
        <v>1</v>
      </c>
      <c r="G60" s="27">
        <f>IF((G58/G59*5)=0,1,IF((G58/G59*5)&gt;=3,3,IF((G58/G59*5)=5,3,G58/G59*5)))</f>
        <v>1</v>
      </c>
      <c r="H60" s="27">
        <f>IF((H58/H59*5)=0,1,IF((H58/H59*5)&gt;=3,3,IF((H58/H59*5)=5,3,H58/H59*5)))</f>
        <v>2.375</v>
      </c>
      <c r="I60" s="27">
        <f>IF((I58/I59*5)=0,1,IF((I58/I59*5)&gt;=3,3,IF((I58/I59*5)=5,3,I58/I59*5)))</f>
        <v>2.125</v>
      </c>
      <c r="J60" s="27">
        <f t="shared" ref="J60:L60" si="29">IF((J58/J59*5)=0,1,IF((J58/J59*5)&gt;=3,3,IF((J58/J59*5)=5,3,J58/J59*5)))</f>
        <v>3</v>
      </c>
      <c r="K60" s="27">
        <f t="shared" si="29"/>
        <v>3</v>
      </c>
      <c r="L60" s="27">
        <f t="shared" si="29"/>
        <v>1.75</v>
      </c>
      <c r="M60" s="27"/>
      <c r="N60" s="27">
        <f>AVERAGE(J60:L60)</f>
        <v>2.5833333333333335</v>
      </c>
      <c r="O60" s="34" t="s">
        <v>85</v>
      </c>
    </row>
    <row r="61" spans="1:15" ht="15" thickBot="1" x14ac:dyDescent="0.4"/>
    <row r="62" spans="1:15" x14ac:dyDescent="0.35">
      <c r="A62" s="17">
        <v>45475</v>
      </c>
      <c r="B62" s="18" t="s">
        <v>86</v>
      </c>
      <c r="C62" s="18"/>
      <c r="D62" s="30" t="s">
        <v>62</v>
      </c>
      <c r="E62" s="19">
        <v>0</v>
      </c>
      <c r="F62" s="19">
        <v>1</v>
      </c>
      <c r="G62" s="19">
        <f>0+0</f>
        <v>0</v>
      </c>
      <c r="H62" s="19">
        <f>0.5+0.7+1+0</f>
        <v>2.2000000000000002</v>
      </c>
      <c r="I62" s="19">
        <f>0.6+0.6+0+0</f>
        <v>1.2</v>
      </c>
      <c r="J62" s="19">
        <f>0.3+0+0.2</f>
        <v>0.5</v>
      </c>
      <c r="K62" s="19">
        <f>0.7+0.5+0.6+0.5</f>
        <v>2.2999999999999998</v>
      </c>
      <c r="L62" s="19">
        <f>1+0+0.4+0</f>
        <v>1.4</v>
      </c>
      <c r="M62" s="19"/>
      <c r="N62" s="18"/>
      <c r="O62" s="20"/>
    </row>
    <row r="63" spans="1:15" x14ac:dyDescent="0.35">
      <c r="A63" s="21">
        <v>45475</v>
      </c>
      <c r="B63" s="22" t="s">
        <v>86</v>
      </c>
      <c r="C63" s="22"/>
      <c r="D63" s="22" t="s">
        <v>57</v>
      </c>
      <c r="E63" s="23">
        <v>1</v>
      </c>
      <c r="F63" s="23">
        <v>1</v>
      </c>
      <c r="G63" s="23">
        <v>2</v>
      </c>
      <c r="H63" s="23">
        <v>4</v>
      </c>
      <c r="I63" s="23">
        <v>4</v>
      </c>
      <c r="J63" s="23">
        <v>3</v>
      </c>
      <c r="K63" s="23">
        <v>4</v>
      </c>
      <c r="L63" s="23">
        <v>4</v>
      </c>
      <c r="M63" s="23"/>
      <c r="N63" s="22"/>
      <c r="O63" s="24"/>
    </row>
    <row r="64" spans="1:15" ht="15" thickBot="1" x14ac:dyDescent="0.4">
      <c r="A64" s="25">
        <v>45475</v>
      </c>
      <c r="B64" s="26" t="s">
        <v>86</v>
      </c>
      <c r="C64" s="26"/>
      <c r="D64" s="26" t="s">
        <v>58</v>
      </c>
      <c r="E64" s="27">
        <f>IF((E62/E63*5)=0,1,IF((E62/E63*5)&gt;=3,3,IF((E62/E63*5)=5,3,E62/E63*5)))</f>
        <v>1</v>
      </c>
      <c r="F64" s="27">
        <f>IF((F62/F63*5)=0,1,IF((F62/F63*5)&gt;=3,3,IF((F62/F63*5)=5,3,F62/F63*5)))</f>
        <v>3</v>
      </c>
      <c r="G64" s="27">
        <f>IF((G62/G63*5)=0,1,IF((G62/G63*5)&gt;=3,3,IF((G62/G63*5)=5,3,G62/G63*5)))</f>
        <v>1</v>
      </c>
      <c r="H64" s="27">
        <f>IF((H62/H63*5)=0,1,IF((H62/H63*5)&gt;=3,3,IF((H62/H63*5)=5,3,H62/H63*5)))</f>
        <v>2.75</v>
      </c>
      <c r="I64" s="27">
        <f>IF((I62/I63*5)=0,1,IF((I62/I63*5)&gt;=3,3,IF((I62/I63*5)=5,3,I62/I63*5)))</f>
        <v>1.5</v>
      </c>
      <c r="J64" s="27">
        <f t="shared" ref="J64:L64" si="30">IF((J62/J63*5)=0,1,IF((J62/J63*5)&gt;=3,3,IF((J62/J63*5)=5,3,J62/J63*5)))</f>
        <v>0.83333333333333326</v>
      </c>
      <c r="K64" s="27">
        <f t="shared" si="30"/>
        <v>2.875</v>
      </c>
      <c r="L64" s="27">
        <f t="shared" si="30"/>
        <v>1.75</v>
      </c>
      <c r="M64" s="27"/>
      <c r="N64" s="27">
        <f>AVERAGE(J64:L64)</f>
        <v>1.8194444444444444</v>
      </c>
      <c r="O64" s="34" t="s">
        <v>79</v>
      </c>
    </row>
    <row r="65" spans="1:15" ht="15" thickBot="1" x14ac:dyDescent="0.4"/>
    <row r="66" spans="1:15" x14ac:dyDescent="0.35">
      <c r="A66" s="17">
        <v>45475</v>
      </c>
      <c r="B66" s="18" t="s">
        <v>87</v>
      </c>
      <c r="C66" s="18"/>
      <c r="D66" s="30" t="s">
        <v>62</v>
      </c>
      <c r="E66" s="19">
        <v>0.5</v>
      </c>
      <c r="F66" s="19">
        <v>0</v>
      </c>
      <c r="G66" s="19">
        <f>1+1</f>
        <v>2</v>
      </c>
      <c r="H66" s="19">
        <f>0.5+0.7+0.5+0.7</f>
        <v>2.4</v>
      </c>
      <c r="I66" s="19">
        <f>0.7+0.6+0.4+0.6</f>
        <v>2.2999999999999998</v>
      </c>
      <c r="J66" s="19">
        <f>0+0.9+0.4</f>
        <v>1.3</v>
      </c>
      <c r="K66" s="19">
        <f>0.7+0.5+0.6+0.4</f>
        <v>2.1999999999999997</v>
      </c>
      <c r="L66" s="19">
        <f>1+0+0.5+0.5</f>
        <v>2</v>
      </c>
      <c r="M66" s="19"/>
      <c r="N66" s="18"/>
      <c r="O66" s="20"/>
    </row>
    <row r="67" spans="1:15" x14ac:dyDescent="0.35">
      <c r="A67" s="21">
        <v>45475</v>
      </c>
      <c r="B67" s="22" t="s">
        <v>87</v>
      </c>
      <c r="C67" s="22"/>
      <c r="D67" s="22" t="s">
        <v>57</v>
      </c>
      <c r="E67" s="23">
        <v>1</v>
      </c>
      <c r="F67" s="23">
        <v>1</v>
      </c>
      <c r="G67" s="23">
        <v>2</v>
      </c>
      <c r="H67" s="23">
        <v>4</v>
      </c>
      <c r="I67" s="23">
        <v>4</v>
      </c>
      <c r="J67" s="23">
        <v>3</v>
      </c>
      <c r="K67" s="23">
        <v>4</v>
      </c>
      <c r="L67" s="23">
        <v>4</v>
      </c>
      <c r="M67" s="23"/>
      <c r="N67" s="22"/>
      <c r="O67" s="24"/>
    </row>
    <row r="68" spans="1:15" ht="15" thickBot="1" x14ac:dyDescent="0.4">
      <c r="A68" s="25">
        <v>45475</v>
      </c>
      <c r="B68" s="26" t="s">
        <v>87</v>
      </c>
      <c r="C68" s="26"/>
      <c r="D68" s="26" t="s">
        <v>58</v>
      </c>
      <c r="E68" s="27">
        <f>IF((E66/E67*5)=0,1,IF((E66/E67*5)&gt;=3,3,IF((E66/E67*5)=5,3,E66/E67*5)))</f>
        <v>2.5</v>
      </c>
      <c r="F68" s="27">
        <f>IF((F66/F67*5)=0,1,IF((F66/F67*5)&gt;=3,3,IF((F66/F67*5)=5,3,F66/F67*5)))</f>
        <v>1</v>
      </c>
      <c r="G68" s="27">
        <f>IF((G66/G67*5)=0,1,IF((G66/G67*5)&gt;=3,3,IF((G66/G67*5)=5,3,G66/G67*5)))</f>
        <v>3</v>
      </c>
      <c r="H68" s="27">
        <f>IF((H66/H67*5)=0,1,IF((H66/H67*5)&gt;=3,3,IF((H66/H67*5)=5,3,H66/H67*5)))</f>
        <v>3</v>
      </c>
      <c r="I68" s="27">
        <f>IF((I66/I67*5)=0,1,IF((I66/I67*5)&gt;=3,3,IF((I66/I67*5)=5,3,I66/I67*5)))</f>
        <v>2.875</v>
      </c>
      <c r="J68" s="27">
        <f t="shared" ref="J68:L68" si="31">IF((J66/J67*5)=0,1,IF((J66/J67*5)&gt;=3,3,IF((J66/J67*5)=5,3,J66/J67*5)))</f>
        <v>2.166666666666667</v>
      </c>
      <c r="K68" s="27">
        <f t="shared" si="31"/>
        <v>2.7499999999999996</v>
      </c>
      <c r="L68" s="27">
        <f t="shared" si="31"/>
        <v>2.5</v>
      </c>
      <c r="M68" s="27"/>
      <c r="N68" s="27">
        <f>AVERAGE(J68:L68)</f>
        <v>2.4722222222222219</v>
      </c>
      <c r="O68" s="34" t="s">
        <v>88</v>
      </c>
    </row>
    <row r="69" spans="1:15" ht="15" thickBot="1" x14ac:dyDescent="0.4"/>
    <row r="70" spans="1:15" x14ac:dyDescent="0.35">
      <c r="A70" s="17">
        <v>45475</v>
      </c>
      <c r="B70" s="18" t="s">
        <v>89</v>
      </c>
      <c r="C70" s="18"/>
      <c r="D70" s="30" t="s">
        <v>62</v>
      </c>
      <c r="E70" s="19">
        <v>0</v>
      </c>
      <c r="F70" s="19">
        <v>0</v>
      </c>
      <c r="G70" s="19">
        <v>0</v>
      </c>
      <c r="H70" s="19">
        <f>0+0.5+0.7+0.5</f>
        <v>1.7</v>
      </c>
      <c r="I70" s="19">
        <f>0.6+0.6+0.7+0.2</f>
        <v>2.1</v>
      </c>
      <c r="J70" s="19">
        <f>1+0+0.6</f>
        <v>1.6</v>
      </c>
      <c r="K70" s="19">
        <f>0.4+0.6+0.7+0.4</f>
        <v>2.1</v>
      </c>
      <c r="L70" s="19">
        <f>0.7+0.2+0.2+0.4</f>
        <v>1.5</v>
      </c>
      <c r="M70" s="19"/>
      <c r="N70" s="18"/>
      <c r="O70" s="20"/>
    </row>
    <row r="71" spans="1:15" x14ac:dyDescent="0.35">
      <c r="A71" s="21">
        <v>45475</v>
      </c>
      <c r="B71" s="22" t="s">
        <v>89</v>
      </c>
      <c r="C71" s="22"/>
      <c r="D71" s="22" t="s">
        <v>57</v>
      </c>
      <c r="E71" s="23">
        <v>1</v>
      </c>
      <c r="F71" s="23">
        <v>1</v>
      </c>
      <c r="G71" s="23">
        <v>2</v>
      </c>
      <c r="H71" s="23">
        <v>4</v>
      </c>
      <c r="I71" s="23">
        <v>4</v>
      </c>
      <c r="J71" s="23">
        <v>3</v>
      </c>
      <c r="K71" s="23">
        <v>4</v>
      </c>
      <c r="L71" s="23">
        <v>4</v>
      </c>
      <c r="M71" s="23"/>
      <c r="N71" s="22"/>
      <c r="O71" s="24"/>
    </row>
    <row r="72" spans="1:15" ht="15" thickBot="1" x14ac:dyDescent="0.4">
      <c r="A72" s="25">
        <v>45475</v>
      </c>
      <c r="B72" s="26" t="s">
        <v>89</v>
      </c>
      <c r="C72" s="26"/>
      <c r="D72" s="26" t="s">
        <v>58</v>
      </c>
      <c r="E72" s="27">
        <f>IF((E70/E71*5)=0,1,IF((E70/E71*5)&gt;=3,3,IF((E70/E71*5)=5,3,E70/E71*5)))</f>
        <v>1</v>
      </c>
      <c r="F72" s="27">
        <f>IF((F70/F71*5)=0,1,IF((F70/F71*5)&gt;=3,3,IF((F70/F71*5)=5,3,F70/F71*5)))</f>
        <v>1</v>
      </c>
      <c r="G72" s="27">
        <f>IF((G70/G71*5)=0,1,IF((G70/G71*5)&gt;=3,3,IF((G70/G71*5)=5,3,G70/G71*5)))</f>
        <v>1</v>
      </c>
      <c r="H72" s="27">
        <f>IF((H70/H71*5)=0,1,IF((H70/H71*5)&gt;=3,3,IF((H70/H71*5)=5,3,H70/H71*5)))</f>
        <v>2.125</v>
      </c>
      <c r="I72" s="27">
        <f>IF((I70/I71*5)=0,1,IF((I70/I71*5)&gt;=3,3,IF((I70/I71*5)=5,3,I70/I71*5)))</f>
        <v>2.625</v>
      </c>
      <c r="J72" s="27">
        <f t="shared" ref="J72:L72" si="32">IF((J70/J71*5)=0,1,IF((J70/J71*5)&gt;=3,3,IF((J70/J71*5)=5,3,J70/J71*5)))</f>
        <v>2.6666666666666665</v>
      </c>
      <c r="K72" s="27">
        <f t="shared" si="32"/>
        <v>2.625</v>
      </c>
      <c r="L72" s="27">
        <f t="shared" si="32"/>
        <v>1.875</v>
      </c>
      <c r="M72" s="27"/>
      <c r="N72" s="27">
        <f>AVERAGE(J72:L72)</f>
        <v>2.3888888888888888</v>
      </c>
      <c r="O72" s="34" t="s">
        <v>90</v>
      </c>
    </row>
    <row r="73" spans="1:15" ht="15" thickBot="1" x14ac:dyDescent="0.4"/>
    <row r="74" spans="1:15" x14ac:dyDescent="0.35">
      <c r="A74" s="17">
        <v>45484</v>
      </c>
      <c r="B74" s="18" t="s">
        <v>91</v>
      </c>
      <c r="C74" s="18" t="s">
        <v>92</v>
      </c>
      <c r="D74" s="30" t="s">
        <v>62</v>
      </c>
      <c r="E74" s="19">
        <v>0</v>
      </c>
      <c r="F74" s="19">
        <v>0</v>
      </c>
      <c r="G74" s="19">
        <f>0+1</f>
        <v>1</v>
      </c>
      <c r="H74" s="19">
        <f>0+0.5+0.5+0.5</f>
        <v>1.5</v>
      </c>
      <c r="I74" s="19">
        <f>0.6+0.6+0+0.5</f>
        <v>1.7</v>
      </c>
      <c r="J74" s="19">
        <f>1+0.4+0.6</f>
        <v>2</v>
      </c>
      <c r="K74" s="19">
        <f>0.5+0.8+0.7+0.6</f>
        <v>2.6</v>
      </c>
      <c r="L74" s="19">
        <f>0.5+0.6+0.6+0</f>
        <v>1.7000000000000002</v>
      </c>
      <c r="M74" s="19"/>
      <c r="N74" s="18"/>
      <c r="O74" s="20"/>
    </row>
    <row r="75" spans="1:15" x14ac:dyDescent="0.35">
      <c r="A75" s="21">
        <v>45484</v>
      </c>
      <c r="B75" s="22" t="s">
        <v>91</v>
      </c>
      <c r="C75" s="22" t="s">
        <v>92</v>
      </c>
      <c r="D75" s="22" t="s">
        <v>57</v>
      </c>
      <c r="E75" s="23">
        <v>1</v>
      </c>
      <c r="F75" s="23">
        <v>1</v>
      </c>
      <c r="G75" s="23">
        <v>2</v>
      </c>
      <c r="H75" s="23">
        <v>4</v>
      </c>
      <c r="I75" s="23">
        <v>4</v>
      </c>
      <c r="J75" s="23">
        <v>3</v>
      </c>
      <c r="K75" s="23">
        <v>4</v>
      </c>
      <c r="L75" s="23">
        <v>4</v>
      </c>
      <c r="M75" s="23"/>
      <c r="N75" s="22"/>
      <c r="O75" s="24"/>
    </row>
    <row r="76" spans="1:15" ht="15" thickBot="1" x14ac:dyDescent="0.4">
      <c r="A76" s="25">
        <v>45484</v>
      </c>
      <c r="B76" s="26" t="s">
        <v>91</v>
      </c>
      <c r="C76" s="26" t="s">
        <v>92</v>
      </c>
      <c r="D76" s="26" t="s">
        <v>58</v>
      </c>
      <c r="E76" s="27">
        <f>IF((E74/E75*5)=0,1,IF((E74/E75*5)&gt;=3,3,IF((E74/E75*5)=5,3,E74/E75*5)))</f>
        <v>1</v>
      </c>
      <c r="F76" s="27">
        <f>IF((F74/F75*5)=0,1,IF((F74/F75*5)&gt;=3,3,IF((F74/F75*5)=5,3,F74/F75*5)))</f>
        <v>1</v>
      </c>
      <c r="G76" s="27">
        <f>IF((G74/G75*5)=0,1,IF((G74/G75*5)&gt;=3,3,IF((G74/G75*5)=5,3,G74/G75*5)))</f>
        <v>2.5</v>
      </c>
      <c r="H76" s="27">
        <f>IF((H74/H75*5)=0,1,IF((H74/H75*5)&gt;=3,3,IF((H74/H75*5)=5,3,H74/H75*5)))</f>
        <v>1.875</v>
      </c>
      <c r="I76" s="27">
        <f>IF((I74/I75*5)=0,1,IF((I74/I75*5)&gt;=3,3,IF((I74/I75*5)=5,3,I74/I75*5)))</f>
        <v>2.125</v>
      </c>
      <c r="J76" s="27">
        <f t="shared" ref="J76:L76" si="33">IF((J74/J75*5)=0,1,IF((J74/J75*5)&gt;=3,3,IF((J74/J75*5)=5,3,J74/J75*5)))</f>
        <v>3</v>
      </c>
      <c r="K76" s="27">
        <f t="shared" si="33"/>
        <v>3</v>
      </c>
      <c r="L76" s="27">
        <f t="shared" si="33"/>
        <v>2.125</v>
      </c>
      <c r="M76" s="27"/>
      <c r="N76" s="27">
        <f>AVERAGE(J76:L76)</f>
        <v>2.7083333333333335</v>
      </c>
      <c r="O76" s="34" t="s">
        <v>93</v>
      </c>
    </row>
    <row r="77" spans="1:15" ht="15" thickBot="1" x14ac:dyDescent="0.4"/>
    <row r="78" spans="1:15" x14ac:dyDescent="0.35">
      <c r="A78" s="17">
        <v>45485</v>
      </c>
      <c r="B78" s="18" t="s">
        <v>94</v>
      </c>
      <c r="C78" s="18"/>
      <c r="D78" s="30" t="s">
        <v>62</v>
      </c>
      <c r="E78" s="19">
        <v>0</v>
      </c>
      <c r="F78" s="19">
        <v>0</v>
      </c>
      <c r="G78" s="19">
        <f>0+0</f>
        <v>0</v>
      </c>
      <c r="H78" s="19">
        <f>0+0.5+0+0.5</f>
        <v>1</v>
      </c>
      <c r="I78" s="19">
        <f>0.4+0.6+0+0.5</f>
        <v>1.5</v>
      </c>
      <c r="J78" s="19">
        <f>1+0+0.6</f>
        <v>1.6</v>
      </c>
      <c r="K78" s="19">
        <f>0.7+0.8+0.2+0.6</f>
        <v>2.2999999999999998</v>
      </c>
      <c r="L78" s="19">
        <f>0+0.6+0.3+0.5</f>
        <v>1.4</v>
      </c>
      <c r="M78" s="19"/>
      <c r="N78" s="18"/>
      <c r="O78" s="20"/>
    </row>
    <row r="79" spans="1:15" x14ac:dyDescent="0.35">
      <c r="A79" s="21">
        <v>45485</v>
      </c>
      <c r="B79" s="22" t="s">
        <v>94</v>
      </c>
      <c r="C79" s="22"/>
      <c r="D79" s="22" t="s">
        <v>57</v>
      </c>
      <c r="E79" s="23">
        <v>1</v>
      </c>
      <c r="F79" s="23">
        <v>1</v>
      </c>
      <c r="G79" s="23">
        <v>2</v>
      </c>
      <c r="H79" s="23">
        <v>4</v>
      </c>
      <c r="I79" s="23">
        <v>4</v>
      </c>
      <c r="J79" s="23">
        <v>3</v>
      </c>
      <c r="K79" s="23">
        <v>4</v>
      </c>
      <c r="L79" s="23">
        <v>4</v>
      </c>
      <c r="M79" s="23"/>
      <c r="N79" s="22"/>
      <c r="O79" s="24"/>
    </row>
    <row r="80" spans="1:15" ht="15" thickBot="1" x14ac:dyDescent="0.4">
      <c r="A80" s="25">
        <v>45485</v>
      </c>
      <c r="B80" s="26" t="s">
        <v>94</v>
      </c>
      <c r="C80" s="26"/>
      <c r="D80" s="26" t="s">
        <v>58</v>
      </c>
      <c r="E80" s="27">
        <f>IF((E78/E79*5)=0,1,IF((E78/E79*5)&gt;=3,3,IF((E78/E79*5)=5,3,E78/E79*5)))</f>
        <v>1</v>
      </c>
      <c r="F80" s="27">
        <f>IF((F78/F79*5)=0,1,IF((F78/F79*5)&gt;=3,3,IF((F78/F79*5)=5,3,F78/F79*5)))</f>
        <v>1</v>
      </c>
      <c r="G80" s="27">
        <f>IF((G78/G79*5)=0,1,IF((G78/G79*5)&gt;=3,3,IF((G78/G79*5)=5,3,G78/G79*5)))</f>
        <v>1</v>
      </c>
      <c r="H80" s="27">
        <f>IF((H78/H79*5)=0,1,IF((H78/H79*5)&gt;=3,3,IF((H78/H79*5)=5,3,H78/H79*5)))</f>
        <v>1.25</v>
      </c>
      <c r="I80" s="27">
        <f>IF((I78/I79*5)=0,1,IF((I78/I79*5)&gt;=3,3,IF((I78/I79*5)=5,3,I78/I79*5)))</f>
        <v>1.875</v>
      </c>
      <c r="J80" s="27">
        <f t="shared" ref="J80:L80" si="34">IF((J78/J79*5)=0,1,IF((J78/J79*5)&gt;=3,3,IF((J78/J79*5)=5,3,J78/J79*5)))</f>
        <v>2.6666666666666665</v>
      </c>
      <c r="K80" s="27">
        <f t="shared" si="34"/>
        <v>2.875</v>
      </c>
      <c r="L80" s="27">
        <f t="shared" si="34"/>
        <v>1.75</v>
      </c>
      <c r="M80" s="27"/>
      <c r="N80" s="27">
        <f>AVERAGE(J80:L80)</f>
        <v>2.4305555555555554</v>
      </c>
      <c r="O80" s="34" t="s">
        <v>95</v>
      </c>
    </row>
    <row r="81" spans="1:15" ht="15" thickBot="1" x14ac:dyDescent="0.4"/>
    <row r="82" spans="1:15" x14ac:dyDescent="0.35">
      <c r="A82" s="17">
        <v>45485</v>
      </c>
      <c r="B82" s="18" t="s">
        <v>96</v>
      </c>
      <c r="C82" s="18"/>
      <c r="D82" s="30" t="s">
        <v>62</v>
      </c>
      <c r="E82" s="19">
        <v>0</v>
      </c>
      <c r="F82" s="19">
        <v>0</v>
      </c>
      <c r="G82" s="19">
        <f>0+0</f>
        <v>0</v>
      </c>
      <c r="H82" s="19">
        <f>0+0.5+0+0</f>
        <v>0.5</v>
      </c>
      <c r="I82" s="19">
        <f>0.4+0.5+0+0.5</f>
        <v>1.4</v>
      </c>
      <c r="J82" s="19">
        <f>1+0+0.6</f>
        <v>1.6</v>
      </c>
      <c r="K82" s="19">
        <f>0+0.4+0.2+0.4</f>
        <v>1</v>
      </c>
      <c r="L82" s="19">
        <f>0+0.5+0.3+0.5</f>
        <v>1.3</v>
      </c>
      <c r="M82" s="19"/>
      <c r="N82" s="18"/>
      <c r="O82" s="20"/>
    </row>
    <row r="83" spans="1:15" x14ac:dyDescent="0.35">
      <c r="A83" s="21">
        <v>45485</v>
      </c>
      <c r="B83" s="22" t="s">
        <v>96</v>
      </c>
      <c r="C83" s="22"/>
      <c r="D83" s="22" t="s">
        <v>57</v>
      </c>
      <c r="E83" s="23">
        <v>1</v>
      </c>
      <c r="F83" s="23">
        <v>1</v>
      </c>
      <c r="G83" s="23">
        <v>2</v>
      </c>
      <c r="H83" s="23">
        <v>4</v>
      </c>
      <c r="I83" s="23">
        <v>4</v>
      </c>
      <c r="J83" s="23">
        <v>3</v>
      </c>
      <c r="K83" s="23">
        <v>4</v>
      </c>
      <c r="L83" s="23">
        <v>4</v>
      </c>
      <c r="M83" s="23"/>
      <c r="N83" s="22"/>
      <c r="O83" s="24"/>
    </row>
    <row r="84" spans="1:15" ht="15" thickBot="1" x14ac:dyDescent="0.4">
      <c r="A84" s="25">
        <v>45485</v>
      </c>
      <c r="B84" s="26" t="s">
        <v>96</v>
      </c>
      <c r="C84" s="26"/>
      <c r="D84" s="26" t="s">
        <v>58</v>
      </c>
      <c r="E84" s="27">
        <f>IF((E82/E83*5)=0,1,IF((E82/E83*5)&gt;=3,3,IF((E82/E83*5)=5,3,E82/E83*5)))</f>
        <v>1</v>
      </c>
      <c r="F84" s="27">
        <f>IF((F82/F83*5)=0,1,IF((F82/F83*5)&gt;=3,3,IF((F82/F83*5)=5,3,F82/F83*5)))</f>
        <v>1</v>
      </c>
      <c r="G84" s="27">
        <f>IF((G82/G83*5)=0,1,IF((G82/G83*5)&gt;=3,3,IF((G82/G83*5)=5,3,G82/G83*5)))</f>
        <v>1</v>
      </c>
      <c r="H84" s="27">
        <f>IF((H82/H83*5)=0,1,IF((H82/H83*5)&gt;=3,3,IF((H82/H83*5)=5,3,H82/H83*5)))</f>
        <v>0.625</v>
      </c>
      <c r="I84" s="27">
        <f>IF((I82/I83*5)=0,1,IF((I82/I83*5)&gt;=3,3,IF((I82/I83*5)=5,3,I82/I83*5)))</f>
        <v>1.75</v>
      </c>
      <c r="J84" s="27">
        <f t="shared" ref="J84:L84" si="35">IF((J82/J83*5)=0,1,IF((J82/J83*5)&gt;=3,3,IF((J82/J83*5)=5,3,J82/J83*5)))</f>
        <v>2.6666666666666665</v>
      </c>
      <c r="K84" s="27">
        <f t="shared" si="35"/>
        <v>1.25</v>
      </c>
      <c r="L84" s="27">
        <f t="shared" si="35"/>
        <v>1.625</v>
      </c>
      <c r="M84" s="27"/>
      <c r="N84" s="27">
        <f>AVERAGE(J84:L84)</f>
        <v>1.8472222222222221</v>
      </c>
      <c r="O84" s="34" t="s">
        <v>97</v>
      </c>
    </row>
    <row r="85" spans="1:15" ht="15" thickBot="1" x14ac:dyDescent="0.4"/>
    <row r="86" spans="1:15" x14ac:dyDescent="0.35">
      <c r="A86" s="17">
        <v>45489</v>
      </c>
      <c r="B86" s="18" t="s">
        <v>98</v>
      </c>
      <c r="C86" s="18"/>
      <c r="D86" s="30" t="s">
        <v>62</v>
      </c>
      <c r="E86" s="19">
        <v>0</v>
      </c>
      <c r="F86" s="19">
        <v>0</v>
      </c>
      <c r="G86" s="19">
        <f>0+0</f>
        <v>0</v>
      </c>
      <c r="H86" s="19">
        <f>0+0.5+0.5+0.3</f>
        <v>1.3</v>
      </c>
      <c r="I86" s="19">
        <f>0+0+0+0</f>
        <v>0</v>
      </c>
      <c r="J86" s="19">
        <f>0.3+0+0</f>
        <v>0.3</v>
      </c>
      <c r="K86" s="19">
        <f>0+0.5+0.2+0.5</f>
        <v>1.2</v>
      </c>
      <c r="L86" s="19">
        <f>0+0.5+0.3+0.3</f>
        <v>1.1000000000000001</v>
      </c>
      <c r="M86" s="19"/>
      <c r="N86" s="18"/>
      <c r="O86" s="20"/>
    </row>
    <row r="87" spans="1:15" x14ac:dyDescent="0.35">
      <c r="A87" s="21">
        <v>45489</v>
      </c>
      <c r="B87" s="22" t="s">
        <v>98</v>
      </c>
      <c r="C87" s="22"/>
      <c r="D87" s="22" t="s">
        <v>57</v>
      </c>
      <c r="E87" s="23">
        <v>1</v>
      </c>
      <c r="F87" s="23">
        <v>1</v>
      </c>
      <c r="G87" s="23">
        <v>2</v>
      </c>
      <c r="H87" s="23">
        <v>4</v>
      </c>
      <c r="I87" s="23">
        <v>4</v>
      </c>
      <c r="J87" s="23">
        <v>3</v>
      </c>
      <c r="K87" s="23">
        <v>4</v>
      </c>
      <c r="L87" s="23">
        <v>4</v>
      </c>
      <c r="M87" s="23"/>
      <c r="N87" s="22"/>
      <c r="O87" s="24"/>
    </row>
    <row r="88" spans="1:15" ht="15" thickBot="1" x14ac:dyDescent="0.4">
      <c r="A88" s="25">
        <v>45489</v>
      </c>
      <c r="B88" s="26" t="s">
        <v>98</v>
      </c>
      <c r="C88" s="26"/>
      <c r="D88" s="26" t="s">
        <v>58</v>
      </c>
      <c r="E88" s="27">
        <f>IF((E86/E87*5)=0,1,IF((E86/E87*5)&gt;=3,3,IF((E86/E87*5)=5,3,E86/E87*5)))</f>
        <v>1</v>
      </c>
      <c r="F88" s="27">
        <f>IF((F86/F87*5)=0,1,IF((F86/F87*5)&gt;=3,3,IF((F86/F87*5)=5,3,F86/F87*5)))</f>
        <v>1</v>
      </c>
      <c r="G88" s="27">
        <f>IF((G86/G87*5)=0,1,IF((G86/G87*5)&gt;=3,3,IF((G86/G87*5)=5,3,G86/G87*5)))</f>
        <v>1</v>
      </c>
      <c r="H88" s="27">
        <f>IF((H86/H87*5)=0,1,IF((H86/H87*5)&gt;=3,3,IF((H86/H87*5)=5,3,H86/H87*5)))</f>
        <v>1.625</v>
      </c>
      <c r="I88" s="27">
        <f>IF((I86/I87*5)=0,1,IF((I86/I87*5)&gt;=3,3,IF((I86/I87*5)=5,3,I86/I87*5)))</f>
        <v>1</v>
      </c>
      <c r="J88" s="27">
        <f t="shared" ref="J88:L88" si="36">IF((J86/J87*5)=0,1,IF((J86/J87*5)&gt;=3,3,IF((J86/J87*5)=5,3,J86/J87*5)))</f>
        <v>0.49999999999999994</v>
      </c>
      <c r="K88" s="27">
        <f t="shared" si="36"/>
        <v>1.5</v>
      </c>
      <c r="L88" s="27">
        <f t="shared" si="36"/>
        <v>1.375</v>
      </c>
      <c r="M88" s="27"/>
      <c r="N88" s="27">
        <f>AVERAGE(J88:L88)</f>
        <v>1.125</v>
      </c>
      <c r="O88" s="34" t="s">
        <v>100</v>
      </c>
    </row>
    <row r="89" spans="1:15" ht="15" thickBot="1" x14ac:dyDescent="0.4"/>
    <row r="90" spans="1:15" x14ac:dyDescent="0.35">
      <c r="A90" s="17">
        <v>45489</v>
      </c>
      <c r="B90" s="18" t="s">
        <v>99</v>
      </c>
      <c r="C90" s="18"/>
      <c r="D90" s="30" t="s">
        <v>62</v>
      </c>
      <c r="E90" s="19">
        <v>0</v>
      </c>
      <c r="F90" s="19">
        <v>0</v>
      </c>
      <c r="G90" s="19">
        <f>0+0</f>
        <v>0</v>
      </c>
      <c r="H90" s="19">
        <f>0+0.2+0.3+0.4</f>
        <v>0.9</v>
      </c>
      <c r="I90" s="19">
        <f>0.2+0.2+0+0</f>
        <v>0.4</v>
      </c>
      <c r="J90" s="19">
        <f>0.3+0.2+0</f>
        <v>0.5</v>
      </c>
      <c r="K90" s="19">
        <f>0.2+0.2+0+0.5</f>
        <v>0.9</v>
      </c>
      <c r="L90" s="19">
        <f>0.2+0+0.2+0</f>
        <v>0.4</v>
      </c>
      <c r="M90" s="19"/>
      <c r="N90" s="18"/>
      <c r="O90" s="20"/>
    </row>
    <row r="91" spans="1:15" x14ac:dyDescent="0.35">
      <c r="A91" s="21">
        <v>45489</v>
      </c>
      <c r="B91" s="22" t="s">
        <v>99</v>
      </c>
      <c r="C91" s="22"/>
      <c r="D91" s="22" t="s">
        <v>57</v>
      </c>
      <c r="E91" s="23">
        <v>1</v>
      </c>
      <c r="F91" s="23">
        <v>1</v>
      </c>
      <c r="G91" s="23">
        <v>2</v>
      </c>
      <c r="H91" s="23">
        <v>4</v>
      </c>
      <c r="I91" s="23">
        <v>4</v>
      </c>
      <c r="J91" s="23">
        <v>3</v>
      </c>
      <c r="K91" s="23">
        <v>4</v>
      </c>
      <c r="L91" s="23">
        <v>4</v>
      </c>
      <c r="M91" s="23"/>
      <c r="N91" s="22"/>
      <c r="O91" s="24"/>
    </row>
    <row r="92" spans="1:15" ht="15" thickBot="1" x14ac:dyDescent="0.4">
      <c r="A92" s="25">
        <v>45489</v>
      </c>
      <c r="B92" s="26" t="s">
        <v>99</v>
      </c>
      <c r="C92" s="26"/>
      <c r="D92" s="26" t="s">
        <v>58</v>
      </c>
      <c r="E92" s="27">
        <f>IF((E90/E91*5)=0,1,IF((E90/E91*5)&gt;=3,3,IF((E90/E91*5)=5,3,E90/E91*5)))</f>
        <v>1</v>
      </c>
      <c r="F92" s="27">
        <f>IF((F90/F91*5)=0,1,IF((F90/F91*5)&gt;=3,3,IF((F90/F91*5)=5,3,F90/F91*5)))</f>
        <v>1</v>
      </c>
      <c r="G92" s="27">
        <f>IF((G90/G91*5)=0,1,IF((G90/G91*5)&gt;=3,3,IF((G90/G91*5)=5,3,G90/G91*5)))</f>
        <v>1</v>
      </c>
      <c r="H92" s="27">
        <f>IF((H90/H91*5)=0,1,IF((H90/H91*5)&gt;=3,3,IF((H90/H91*5)=5,3,H90/H91*5)))</f>
        <v>1.125</v>
      </c>
      <c r="I92" s="27">
        <f>IF((I90/I91*5)=0,1,IF((I90/I91*5)&gt;=3,3,IF((I90/I91*5)=5,3,I90/I91*5)))</f>
        <v>0.5</v>
      </c>
      <c r="J92" s="27">
        <f t="shared" ref="J92:L92" si="37">IF((J90/J91*5)=0,1,IF((J90/J91*5)&gt;=3,3,IF((J90/J91*5)=5,3,J90/J91*5)))</f>
        <v>0.83333333333333326</v>
      </c>
      <c r="K92" s="27">
        <f t="shared" si="37"/>
        <v>1.125</v>
      </c>
      <c r="L92" s="27">
        <f t="shared" si="37"/>
        <v>0.5</v>
      </c>
      <c r="M92" s="27"/>
      <c r="N92" s="27">
        <f>AVERAGE(J92:L92)</f>
        <v>0.81944444444444431</v>
      </c>
      <c r="O92" s="34" t="s">
        <v>100</v>
      </c>
    </row>
    <row r="93" spans="1:15" ht="15" thickBot="1" x14ac:dyDescent="0.4"/>
    <row r="94" spans="1:15" x14ac:dyDescent="0.35">
      <c r="A94" s="17">
        <v>45491</v>
      </c>
      <c r="B94" s="18" t="s">
        <v>101</v>
      </c>
      <c r="C94" s="18"/>
      <c r="D94" s="30" t="s">
        <v>62</v>
      </c>
      <c r="E94" s="19">
        <v>0</v>
      </c>
      <c r="F94" s="19">
        <v>0</v>
      </c>
      <c r="G94" s="19">
        <f>0+0</f>
        <v>0</v>
      </c>
      <c r="H94" s="19">
        <f>0+0.5+0.4+0.4</f>
        <v>1.3</v>
      </c>
      <c r="I94" s="19">
        <f>0+0+0+0</f>
        <v>0</v>
      </c>
      <c r="J94" s="19">
        <f>1+0+0</f>
        <v>1</v>
      </c>
      <c r="K94" s="19">
        <f>0+0+0+0</f>
        <v>0</v>
      </c>
      <c r="L94" s="19">
        <f>0+0.5+0.3+0.5</f>
        <v>1.3</v>
      </c>
      <c r="M94" s="19"/>
      <c r="N94" s="18"/>
      <c r="O94" s="20"/>
    </row>
    <row r="95" spans="1:15" x14ac:dyDescent="0.35">
      <c r="A95" s="21">
        <v>45491</v>
      </c>
      <c r="B95" s="22" t="s">
        <v>101</v>
      </c>
      <c r="C95" s="22"/>
      <c r="D95" s="22" t="s">
        <v>57</v>
      </c>
      <c r="E95" s="23">
        <v>1</v>
      </c>
      <c r="F95" s="23">
        <v>1</v>
      </c>
      <c r="G95" s="23">
        <v>2</v>
      </c>
      <c r="H95" s="23">
        <v>4</v>
      </c>
      <c r="I95" s="23">
        <v>4</v>
      </c>
      <c r="J95" s="23">
        <v>3</v>
      </c>
      <c r="K95" s="23">
        <v>4</v>
      </c>
      <c r="L95" s="23">
        <v>4</v>
      </c>
      <c r="M95" s="23"/>
      <c r="N95" s="22"/>
      <c r="O95" s="24"/>
    </row>
    <row r="96" spans="1:15" ht="15" thickBot="1" x14ac:dyDescent="0.4">
      <c r="A96" s="25">
        <v>45491</v>
      </c>
      <c r="B96" s="26" t="s">
        <v>101</v>
      </c>
      <c r="C96" s="26"/>
      <c r="D96" s="26" t="s">
        <v>58</v>
      </c>
      <c r="E96" s="27">
        <f>IF((E94/E95*5)=0,1,IF((E94/E95*5)&gt;=3,3,IF((E94/E95*5)=5,3,E94/E95*5)))</f>
        <v>1</v>
      </c>
      <c r="F96" s="27">
        <f>IF((F94/F95*5)=0,1,IF((F94/F95*5)&gt;=3,3,IF((F94/F95*5)=5,3,F94/F95*5)))</f>
        <v>1</v>
      </c>
      <c r="G96" s="27">
        <f>IF((G94/G95*5)=0,1,IF((G94/G95*5)&gt;=3,3,IF((G94/G95*5)=5,3,G94/G95*5)))</f>
        <v>1</v>
      </c>
      <c r="H96" s="27">
        <f>IF((H94/H95*5)=0,1,IF((H94/H95*5)&gt;=3,3,IF((H94/H95*5)=5,3,H94/H95*5)))</f>
        <v>1.625</v>
      </c>
      <c r="I96" s="27">
        <f>IF((I94/I95*5)=0,1,IF((I94/I95*5)&gt;=3,3,IF((I94/I95*5)=5,3,I94/I95*5)))</f>
        <v>1</v>
      </c>
      <c r="J96" s="27">
        <f t="shared" ref="J96:L96" si="38">IF((J94/J95*5)=0,1,IF((J94/J95*5)&gt;=3,3,IF((J94/J95*5)=5,3,J94/J95*5)))</f>
        <v>1.6666666666666665</v>
      </c>
      <c r="K96" s="27">
        <f t="shared" si="38"/>
        <v>1</v>
      </c>
      <c r="L96" s="27">
        <f t="shared" si="38"/>
        <v>1.625</v>
      </c>
      <c r="M96" s="27"/>
      <c r="N96" s="27">
        <f>AVERAGE(J96:L96)</f>
        <v>1.4305555555555554</v>
      </c>
      <c r="O96" s="34" t="s">
        <v>97</v>
      </c>
    </row>
    <row r="97" spans="1:15" ht="15" thickBot="1" x14ac:dyDescent="0.4"/>
    <row r="98" spans="1:15" x14ac:dyDescent="0.35">
      <c r="A98" s="17">
        <v>45491</v>
      </c>
      <c r="B98" s="18" t="s">
        <v>102</v>
      </c>
      <c r="C98" s="18"/>
      <c r="D98" s="30" t="s">
        <v>62</v>
      </c>
      <c r="E98" s="19">
        <v>0.5</v>
      </c>
      <c r="F98" s="19">
        <v>0</v>
      </c>
      <c r="G98" s="19">
        <f>1+1</f>
        <v>2</v>
      </c>
      <c r="H98" s="19">
        <f>0.5+0.5+0.5+0.5</f>
        <v>2</v>
      </c>
      <c r="I98" s="19">
        <f>0.6+0.6+0.6+1</f>
        <v>2.8</v>
      </c>
      <c r="J98" s="19">
        <f>0.7+0.5+0.5</f>
        <v>1.7</v>
      </c>
      <c r="K98" s="19">
        <f>0.5+0.4+0.6+0.5</f>
        <v>2</v>
      </c>
      <c r="L98" s="19">
        <f>1+0.6+0.7+0.7</f>
        <v>3</v>
      </c>
      <c r="M98" s="19"/>
      <c r="N98" s="18"/>
      <c r="O98" s="20"/>
    </row>
    <row r="99" spans="1:15" x14ac:dyDescent="0.35">
      <c r="A99" s="21">
        <v>45491</v>
      </c>
      <c r="B99" s="22" t="s">
        <v>102</v>
      </c>
      <c r="C99" s="22"/>
      <c r="D99" s="22" t="s">
        <v>57</v>
      </c>
      <c r="E99" s="23">
        <v>1</v>
      </c>
      <c r="F99" s="23">
        <v>1</v>
      </c>
      <c r="G99" s="23">
        <v>2</v>
      </c>
      <c r="H99" s="23">
        <v>4</v>
      </c>
      <c r="I99" s="23">
        <v>4</v>
      </c>
      <c r="J99" s="23">
        <v>3</v>
      </c>
      <c r="K99" s="23">
        <v>4</v>
      </c>
      <c r="L99" s="23">
        <v>4</v>
      </c>
      <c r="M99" s="23"/>
      <c r="N99" s="22"/>
      <c r="O99" s="24"/>
    </row>
    <row r="100" spans="1:15" ht="15" thickBot="1" x14ac:dyDescent="0.4">
      <c r="A100" s="25">
        <v>45491</v>
      </c>
      <c r="B100" s="26" t="s">
        <v>102</v>
      </c>
      <c r="C100" s="26"/>
      <c r="D100" s="26" t="s">
        <v>58</v>
      </c>
      <c r="E100" s="27">
        <f>IF((E98/E99*5)=0,1,IF((E98/E99*5)&gt;=3,3,IF((E98/E99*5)=5,3,E98/E99*5)))</f>
        <v>2.5</v>
      </c>
      <c r="F100" s="27">
        <f>IF((F98/F99*5)=0,1,IF((F98/F99*5)&gt;=3,3,IF((F98/F99*5)=5,3,F98/F99*5)))</f>
        <v>1</v>
      </c>
      <c r="G100" s="27">
        <f>IF((G98/G99*5)=0,1,IF((G98/G99*5)&gt;=3,3,IF((G98/G99*5)=5,3,G98/G99*5)))</f>
        <v>3</v>
      </c>
      <c r="H100" s="27">
        <f>IF((H98/H99*5)=0,1,IF((H98/H99*5)&gt;=3,3,IF((H98/H99*5)=5,3,H98/H99*5)))</f>
        <v>2.5</v>
      </c>
      <c r="I100" s="27">
        <f>IF((I98/I99*5)=0,1,IF((I98/I99*5)&gt;=3,3,IF((I98/I99*5)=5,3,I98/I99*5)))</f>
        <v>3</v>
      </c>
      <c r="J100" s="27">
        <f t="shared" ref="J100:L100" si="39">IF((J98/J99*5)=0,1,IF((J98/J99*5)&gt;=3,3,IF((J98/J99*5)=5,3,J98/J99*5)))</f>
        <v>2.833333333333333</v>
      </c>
      <c r="K100" s="27">
        <f t="shared" si="39"/>
        <v>2.5</v>
      </c>
      <c r="L100" s="27">
        <f t="shared" si="39"/>
        <v>3</v>
      </c>
      <c r="M100" s="27"/>
      <c r="N100" s="27">
        <f>AVERAGE(J100:L100)</f>
        <v>2.7777777777777772</v>
      </c>
      <c r="O100" s="34" t="s">
        <v>103</v>
      </c>
    </row>
    <row r="101" spans="1:15" ht="15" thickBot="1" x14ac:dyDescent="0.4"/>
    <row r="102" spans="1:15" x14ac:dyDescent="0.35">
      <c r="A102" s="17">
        <v>45492</v>
      </c>
      <c r="B102" s="18" t="s">
        <v>104</v>
      </c>
      <c r="C102" s="18"/>
      <c r="D102" s="30" t="s">
        <v>62</v>
      </c>
      <c r="E102" s="19">
        <v>0.5</v>
      </c>
      <c r="F102" s="19">
        <v>0</v>
      </c>
      <c r="G102" s="19">
        <f>0+0</f>
        <v>0</v>
      </c>
      <c r="H102" s="19">
        <f>0.5+0.5+0.7+0.5</f>
        <v>2.2000000000000002</v>
      </c>
      <c r="I102" s="19">
        <f>0.2+0.2+0+1</f>
        <v>1.4</v>
      </c>
      <c r="J102" s="19">
        <f>0.7+0.2+0</f>
        <v>0.89999999999999991</v>
      </c>
      <c r="K102" s="19">
        <f>0.2+0.4+0+0.4</f>
        <v>1</v>
      </c>
      <c r="L102" s="19">
        <f>0.2+0+0.2+0</f>
        <v>0.4</v>
      </c>
      <c r="M102" s="19"/>
      <c r="N102" s="18"/>
      <c r="O102" s="20"/>
    </row>
    <row r="103" spans="1:15" x14ac:dyDescent="0.35">
      <c r="A103" s="21">
        <v>45492</v>
      </c>
      <c r="B103" s="22" t="s">
        <v>104</v>
      </c>
      <c r="C103" s="22"/>
      <c r="D103" s="22" t="s">
        <v>57</v>
      </c>
      <c r="E103" s="23">
        <v>1</v>
      </c>
      <c r="F103" s="23">
        <v>1</v>
      </c>
      <c r="G103" s="23">
        <v>2</v>
      </c>
      <c r="H103" s="23">
        <v>4</v>
      </c>
      <c r="I103" s="23">
        <v>4</v>
      </c>
      <c r="J103" s="23">
        <v>3</v>
      </c>
      <c r="K103" s="23">
        <v>4</v>
      </c>
      <c r="L103" s="23">
        <v>4</v>
      </c>
      <c r="M103" s="23"/>
      <c r="N103" s="22"/>
      <c r="O103" s="24"/>
    </row>
    <row r="104" spans="1:15" ht="15" thickBot="1" x14ac:dyDescent="0.4">
      <c r="A104" s="25">
        <v>45492</v>
      </c>
      <c r="B104" s="26" t="s">
        <v>104</v>
      </c>
      <c r="C104" s="26"/>
      <c r="D104" s="26" t="s">
        <v>58</v>
      </c>
      <c r="E104" s="27">
        <f>IF((E102/E103*5)=0,1,IF((E102/E103*5)&gt;=3,3,IF((E102/E103*5)=5,3,E102/E103*5)))</f>
        <v>2.5</v>
      </c>
      <c r="F104" s="27">
        <f>IF((F102/F103*5)=0,1,IF((F102/F103*5)&gt;=3,3,IF((F102/F103*5)=5,3,F102/F103*5)))</f>
        <v>1</v>
      </c>
      <c r="G104" s="27">
        <f>IF((G102/G103*5)=0,1,IF((G102/G103*5)&gt;=3,3,IF((G102/G103*5)=5,3,G102/G103*5)))</f>
        <v>1</v>
      </c>
      <c r="H104" s="27">
        <f>IF((H102/H103*5)=0,1,IF((H102/H103*5)&gt;=3,3,IF((H102/H103*5)=5,3,H102/H103*5)))</f>
        <v>2.75</v>
      </c>
      <c r="I104" s="27">
        <f>IF((I102/I103*5)=0,1,IF((I102/I103*5)&gt;=3,3,IF((I102/I103*5)=5,3,I102/I103*5)))</f>
        <v>1.75</v>
      </c>
      <c r="J104" s="27">
        <f t="shared" ref="J104:L104" si="40">IF((J102/J103*5)=0,1,IF((J102/J103*5)&gt;=3,3,IF((J102/J103*5)=5,3,J102/J103*5)))</f>
        <v>1.5</v>
      </c>
      <c r="K104" s="27">
        <f t="shared" si="40"/>
        <v>1.25</v>
      </c>
      <c r="L104" s="27">
        <f t="shared" si="40"/>
        <v>0.5</v>
      </c>
      <c r="M104" s="27"/>
      <c r="N104" s="27">
        <f>AVERAGE(J104:L104)</f>
        <v>1.0833333333333333</v>
      </c>
      <c r="O104" s="34" t="s">
        <v>106</v>
      </c>
    </row>
    <row r="105" spans="1:15" ht="15" thickBot="1" x14ac:dyDescent="0.4"/>
    <row r="106" spans="1:15" x14ac:dyDescent="0.35">
      <c r="A106" s="17">
        <v>45492</v>
      </c>
      <c r="B106" s="18" t="s">
        <v>105</v>
      </c>
      <c r="C106" s="18"/>
      <c r="D106" s="30" t="s">
        <v>62</v>
      </c>
      <c r="E106" s="19">
        <v>0</v>
      </c>
      <c r="F106" s="19">
        <v>0</v>
      </c>
      <c r="G106" s="19">
        <f>0+0</f>
        <v>0</v>
      </c>
      <c r="H106" s="19">
        <f>0+0+0+0.2</f>
        <v>0.2</v>
      </c>
      <c r="I106" s="19">
        <f>0.2+0.2+0+1</f>
        <v>1.4</v>
      </c>
      <c r="J106" s="19">
        <f>0.4+0.4+0.5</f>
        <v>1.3</v>
      </c>
      <c r="K106" s="19">
        <f>0.4+0.4+0.3+0.1</f>
        <v>1.2000000000000002</v>
      </c>
      <c r="L106" s="19">
        <f>0.2+0+0.2+0</f>
        <v>0.4</v>
      </c>
      <c r="M106" s="19"/>
      <c r="N106" s="18"/>
      <c r="O106" s="20"/>
    </row>
    <row r="107" spans="1:15" x14ac:dyDescent="0.35">
      <c r="A107" s="21">
        <v>45492</v>
      </c>
      <c r="B107" s="22" t="s">
        <v>105</v>
      </c>
      <c r="C107" s="22"/>
      <c r="D107" s="22" t="s">
        <v>57</v>
      </c>
      <c r="E107" s="23">
        <v>1</v>
      </c>
      <c r="F107" s="23">
        <v>1</v>
      </c>
      <c r="G107" s="23">
        <v>2</v>
      </c>
      <c r="H107" s="23">
        <v>4</v>
      </c>
      <c r="I107" s="23">
        <v>4</v>
      </c>
      <c r="J107" s="23">
        <v>3</v>
      </c>
      <c r="K107" s="23">
        <v>4</v>
      </c>
      <c r="L107" s="23">
        <v>4</v>
      </c>
      <c r="M107" s="23"/>
      <c r="N107" s="22"/>
      <c r="O107" s="24"/>
    </row>
    <row r="108" spans="1:15" ht="15" thickBot="1" x14ac:dyDescent="0.4">
      <c r="A108" s="25">
        <v>45492</v>
      </c>
      <c r="B108" s="26" t="s">
        <v>105</v>
      </c>
      <c r="C108" s="26"/>
      <c r="D108" s="26" t="s">
        <v>58</v>
      </c>
      <c r="E108" s="27">
        <f>IF((E106/E107*5)=0,1,IF((E106/E107*5)&gt;=3,3,IF((E106/E107*5)=5,3,E106/E107*5)))</f>
        <v>1</v>
      </c>
      <c r="F108" s="27">
        <f>IF((F106/F107*5)=0,1,IF((F106/F107*5)&gt;=3,3,IF((F106/F107*5)=5,3,F106/F107*5)))</f>
        <v>1</v>
      </c>
      <c r="G108" s="27">
        <f>IF((G106/G107*5)=0,1,IF((G106/G107*5)&gt;=3,3,IF((G106/G107*5)=5,3,G106/G107*5)))</f>
        <v>1</v>
      </c>
      <c r="H108" s="27">
        <f>IF((H106/H107*5)=0,1,IF((H106/H107*5)&gt;=3,3,IF((H106/H107*5)=5,3,H106/H107*5)))</f>
        <v>0.25</v>
      </c>
      <c r="I108" s="27">
        <f>IF((I106/I107*5)=0,1,IF((I106/I107*5)&gt;=3,3,IF((I106/I107*5)=5,3,I106/I107*5)))</f>
        <v>1.75</v>
      </c>
      <c r="J108" s="27">
        <f t="shared" ref="J108:L108" si="41">IF((J106/J107*5)=0,1,IF((J106/J107*5)&gt;=3,3,IF((J106/J107*5)=5,3,J106/J107*5)))</f>
        <v>2.166666666666667</v>
      </c>
      <c r="K108" s="27">
        <f t="shared" si="41"/>
        <v>1.5000000000000002</v>
      </c>
      <c r="L108" s="27">
        <f t="shared" si="41"/>
        <v>0.5</v>
      </c>
      <c r="M108" s="27"/>
      <c r="N108" s="27">
        <f>AVERAGE(J108:L108)</f>
        <v>1.3888888888888891</v>
      </c>
      <c r="O108" s="34" t="s">
        <v>107</v>
      </c>
    </row>
    <row r="109" spans="1:15" ht="15" thickBot="1" x14ac:dyDescent="0.4"/>
    <row r="110" spans="1:15" x14ac:dyDescent="0.35">
      <c r="A110" s="17">
        <v>45492</v>
      </c>
      <c r="B110" s="18" t="s">
        <v>82</v>
      </c>
      <c r="C110" s="18"/>
      <c r="D110" s="30" t="s">
        <v>62</v>
      </c>
      <c r="E110" s="19">
        <v>0</v>
      </c>
      <c r="F110" s="19">
        <v>0</v>
      </c>
      <c r="G110" s="19">
        <f>0+0</f>
        <v>0</v>
      </c>
      <c r="H110" s="19">
        <f>0+0.3+0.4+0.3</f>
        <v>1</v>
      </c>
      <c r="I110" s="19">
        <f>0.3+0.2+0+0</f>
        <v>0.5</v>
      </c>
      <c r="J110" s="19">
        <f>1+0.4+0.5</f>
        <v>1.9</v>
      </c>
      <c r="K110" s="19">
        <f>0.3+0.4+0.7+0.4</f>
        <v>1.7999999999999998</v>
      </c>
      <c r="L110" s="19">
        <f>0.2+0+0.2+0</f>
        <v>0.4</v>
      </c>
      <c r="M110" s="19"/>
      <c r="N110" s="18"/>
      <c r="O110" s="20"/>
    </row>
    <row r="111" spans="1:15" x14ac:dyDescent="0.35">
      <c r="A111" s="21">
        <v>45492</v>
      </c>
      <c r="B111" s="22" t="s">
        <v>82</v>
      </c>
      <c r="C111" s="22"/>
      <c r="D111" s="22" t="s">
        <v>57</v>
      </c>
      <c r="E111" s="23">
        <v>1</v>
      </c>
      <c r="F111" s="23">
        <v>1</v>
      </c>
      <c r="G111" s="23">
        <v>2</v>
      </c>
      <c r="H111" s="23">
        <v>4</v>
      </c>
      <c r="I111" s="23">
        <v>4</v>
      </c>
      <c r="J111" s="23">
        <v>3</v>
      </c>
      <c r="K111" s="23">
        <v>4</v>
      </c>
      <c r="L111" s="23">
        <v>4</v>
      </c>
      <c r="M111" s="23"/>
      <c r="N111" s="22"/>
      <c r="O111" s="24"/>
    </row>
    <row r="112" spans="1:15" ht="15" thickBot="1" x14ac:dyDescent="0.4">
      <c r="A112" s="25">
        <v>45492</v>
      </c>
      <c r="B112" s="26" t="s">
        <v>82</v>
      </c>
      <c r="C112" s="26"/>
      <c r="D112" s="26" t="s">
        <v>58</v>
      </c>
      <c r="E112" s="27">
        <f>IF((E110/E111*5)=0,1,IF((E110/E111*5)&gt;=3,3,IF((E110/E111*5)=5,3,E110/E111*5)))</f>
        <v>1</v>
      </c>
      <c r="F112" s="27">
        <f>IF((F110/F111*5)=0,1,IF((F110/F111*5)&gt;=3,3,IF((F110/F111*5)=5,3,F110/F111*5)))</f>
        <v>1</v>
      </c>
      <c r="G112" s="27">
        <f>IF((G110/G111*5)=0,1,IF((G110/G111*5)&gt;=3,3,IF((G110/G111*5)=5,3,G110/G111*5)))</f>
        <v>1</v>
      </c>
      <c r="H112" s="27">
        <f>IF((H110/H111*5)=0,1,IF((H110/H111*5)&gt;=3,3,IF((H110/H111*5)=5,3,H110/H111*5)))</f>
        <v>1.25</v>
      </c>
      <c r="I112" s="27">
        <f>IF((I110/I111*5)=0,1,IF((I110/I111*5)&gt;=3,3,IF((I110/I111*5)=5,3,I110/I111*5)))</f>
        <v>0.625</v>
      </c>
      <c r="J112" s="27">
        <f t="shared" ref="J112:L112" si="42">IF((J110/J111*5)=0,1,IF((J110/J111*5)&gt;=3,3,IF((J110/J111*5)=5,3,J110/J111*5)))</f>
        <v>3</v>
      </c>
      <c r="K112" s="27">
        <f t="shared" si="42"/>
        <v>2.25</v>
      </c>
      <c r="L112" s="27">
        <f t="shared" si="42"/>
        <v>0.5</v>
      </c>
      <c r="M112" s="27"/>
      <c r="N112" s="27">
        <f>AVERAGE(J112:L112)</f>
        <v>1.9166666666666667</v>
      </c>
      <c r="O112" s="34" t="s">
        <v>108</v>
      </c>
    </row>
    <row r="113" spans="1:15" ht="15" thickBot="1" x14ac:dyDescent="0.4"/>
    <row r="114" spans="1:15" x14ac:dyDescent="0.35">
      <c r="A114" s="17">
        <v>45505</v>
      </c>
      <c r="B114" s="18" t="s">
        <v>109</v>
      </c>
      <c r="C114" s="18"/>
      <c r="D114" s="30" t="s">
        <v>62</v>
      </c>
      <c r="E114" s="19">
        <v>0</v>
      </c>
      <c r="F114" s="19">
        <f>1+1</f>
        <v>2</v>
      </c>
      <c r="G114" s="19">
        <f>0+0</f>
        <v>0</v>
      </c>
      <c r="H114" s="19">
        <f>0+0.3+0.4+0.2</f>
        <v>0.89999999999999991</v>
      </c>
      <c r="I114" s="19">
        <f>0.2+0.2+0+0</f>
        <v>0.4</v>
      </c>
      <c r="J114" s="19">
        <f>0.7+0+0.5</f>
        <v>1.2</v>
      </c>
      <c r="K114" s="19">
        <f>0+0+0.7+0.4</f>
        <v>1.1000000000000001</v>
      </c>
      <c r="L114" s="19">
        <f>0.7+0+0.2+0</f>
        <v>0.89999999999999991</v>
      </c>
      <c r="M114" s="19"/>
      <c r="N114" s="18"/>
      <c r="O114" s="20"/>
    </row>
    <row r="115" spans="1:15" x14ac:dyDescent="0.35">
      <c r="A115" s="21">
        <v>45505</v>
      </c>
      <c r="B115" s="22" t="s">
        <v>109</v>
      </c>
      <c r="C115" s="22"/>
      <c r="D115" s="22" t="s">
        <v>57</v>
      </c>
      <c r="E115" s="23">
        <v>1</v>
      </c>
      <c r="F115" s="23">
        <v>1</v>
      </c>
      <c r="G115" s="23">
        <v>2</v>
      </c>
      <c r="H115" s="23">
        <v>4</v>
      </c>
      <c r="I115" s="23">
        <v>4</v>
      </c>
      <c r="J115" s="23">
        <v>3</v>
      </c>
      <c r="K115" s="23">
        <v>4</v>
      </c>
      <c r="L115" s="23">
        <v>4</v>
      </c>
      <c r="M115" s="23"/>
      <c r="N115" s="22"/>
      <c r="O115" s="24"/>
    </row>
    <row r="116" spans="1:15" ht="15" thickBot="1" x14ac:dyDescent="0.4">
      <c r="A116" s="25">
        <v>45505</v>
      </c>
      <c r="B116" s="26" t="s">
        <v>109</v>
      </c>
      <c r="C116" s="26"/>
      <c r="D116" s="26" t="s">
        <v>58</v>
      </c>
      <c r="E116" s="27">
        <f>IF((E114/E115*5)=0,1,IF((E114/E115*5)&gt;=3,3,IF((E114/E115*5)=5,3,E114/E115*5)))</f>
        <v>1</v>
      </c>
      <c r="F116" s="27">
        <f>IF((F114/F115*5)=0,1,IF((F114/F115*5)&gt;=3,3,IF((F114/F115*5)=5,3,F114/F115*5)))</f>
        <v>3</v>
      </c>
      <c r="G116" s="27">
        <f>IF((G114/G115*5)=0,1,IF((G114/G115*5)&gt;=3,3,IF((G114/G115*5)=5,3,G114/G115*5)))</f>
        <v>1</v>
      </c>
      <c r="H116" s="27">
        <f>IF((H114/H115*5)=0,1,IF((H114/H115*5)&gt;=3,3,IF((H114/H115*5)=5,3,H114/H115*5)))</f>
        <v>1.125</v>
      </c>
      <c r="I116" s="27">
        <f>IF((I114/I115*5)=0,1,IF((I114/I115*5)&gt;=3,3,IF((I114/I115*5)=5,3,I114/I115*5)))</f>
        <v>0.5</v>
      </c>
      <c r="J116" s="27">
        <f t="shared" ref="J116:L116" si="43">IF((J114/J115*5)=0,1,IF((J114/J115*5)&gt;=3,3,IF((J114/J115*5)=5,3,J114/J115*5)))</f>
        <v>1.9999999999999998</v>
      </c>
      <c r="K116" s="27">
        <f t="shared" si="43"/>
        <v>1.375</v>
      </c>
      <c r="L116" s="27">
        <f t="shared" si="43"/>
        <v>1.125</v>
      </c>
      <c r="M116" s="27"/>
      <c r="N116" s="27">
        <f>AVERAGE(J116:L116)</f>
        <v>1.5</v>
      </c>
      <c r="O116" s="34" t="s">
        <v>108</v>
      </c>
    </row>
    <row r="117" spans="1:15" ht="15" thickBot="1" x14ac:dyDescent="0.4"/>
    <row r="118" spans="1:15" ht="15" thickBot="1" x14ac:dyDescent="0.4">
      <c r="A118" s="17">
        <v>45511</v>
      </c>
      <c r="B118" s="18" t="s">
        <v>110</v>
      </c>
      <c r="C118" s="18"/>
      <c r="D118" s="30" t="s">
        <v>62</v>
      </c>
      <c r="E118" s="19">
        <v>0</v>
      </c>
      <c r="F118" s="19">
        <f>0+0</f>
        <v>0</v>
      </c>
      <c r="G118" s="19">
        <f>0+0</f>
        <v>0</v>
      </c>
      <c r="H118" s="19">
        <f>0+0.5+0.2+0.2</f>
        <v>0.89999999999999991</v>
      </c>
      <c r="I118" s="19">
        <f>0.5+0.4+0+0</f>
        <v>0.9</v>
      </c>
      <c r="J118" s="19">
        <f>0.4+1+0.5</f>
        <v>1.9</v>
      </c>
      <c r="K118" s="19">
        <f>0.2+0.4+0.7+0.6</f>
        <v>1.9</v>
      </c>
      <c r="L118" s="19">
        <f>0.7+0+0.2+0</f>
        <v>0.89999999999999991</v>
      </c>
      <c r="M118" s="19"/>
      <c r="N118" s="18"/>
      <c r="O118" s="20"/>
    </row>
    <row r="119" spans="1:15" ht="15" thickBot="1" x14ac:dyDescent="0.4">
      <c r="A119" s="17">
        <v>45511</v>
      </c>
      <c r="B119" s="18" t="s">
        <v>110</v>
      </c>
      <c r="C119" s="22"/>
      <c r="D119" s="22" t="s">
        <v>57</v>
      </c>
      <c r="E119" s="23">
        <v>1</v>
      </c>
      <c r="F119" s="23">
        <v>1</v>
      </c>
      <c r="G119" s="23">
        <v>2</v>
      </c>
      <c r="H119" s="23">
        <v>4</v>
      </c>
      <c r="I119" s="23">
        <v>4</v>
      </c>
      <c r="J119" s="23">
        <v>3</v>
      </c>
      <c r="K119" s="23">
        <v>4</v>
      </c>
      <c r="L119" s="23">
        <v>4</v>
      </c>
      <c r="M119" s="23"/>
      <c r="N119" s="22"/>
      <c r="O119" s="24"/>
    </row>
    <row r="120" spans="1:15" ht="15" thickBot="1" x14ac:dyDescent="0.4">
      <c r="A120" s="17">
        <v>45511</v>
      </c>
      <c r="B120" s="18" t="s">
        <v>110</v>
      </c>
      <c r="C120" s="26"/>
      <c r="D120" s="26" t="s">
        <v>58</v>
      </c>
      <c r="E120" s="27">
        <f>IF((E118/E119*5)=0,1,IF((E118/E119*5)&gt;=3,3,IF((E118/E119*5)=5,3,E118/E119*5)))</f>
        <v>1</v>
      </c>
      <c r="F120" s="27">
        <f>IF((F118/F119*5)=0,1,IF((F118/F119*5)&gt;=3,3,IF((F118/F119*5)=5,3,F118/F119*5)))</f>
        <v>1</v>
      </c>
      <c r="G120" s="27">
        <f>IF((G118/G119*5)=0,1,IF((G118/G119*5)&gt;=3,3,IF((G118/G119*5)=5,3,G118/G119*5)))</f>
        <v>1</v>
      </c>
      <c r="H120" s="27">
        <f>IF((H118/H119*5)=0,1,IF((H118/H119*5)&gt;=3,3,IF((H118/H119*5)=5,3,H118/H119*5)))</f>
        <v>1.125</v>
      </c>
      <c r="I120" s="27">
        <f>IF((I118/I119*5)=0,1,IF((I118/I119*5)&gt;=3,3,IF((I118/I119*5)=5,3,I118/I119*5)))</f>
        <v>1.125</v>
      </c>
      <c r="J120" s="27">
        <f t="shared" ref="J120:L120" si="44">IF((J118/J119*5)=0,1,IF((J118/J119*5)&gt;=3,3,IF((J118/J119*5)=5,3,J118/J119*5)))</f>
        <v>3</v>
      </c>
      <c r="K120" s="27">
        <f t="shared" si="44"/>
        <v>2.375</v>
      </c>
      <c r="L120" s="27">
        <f t="shared" si="44"/>
        <v>1.125</v>
      </c>
      <c r="M120" s="27"/>
      <c r="N120" s="27">
        <f>AVERAGE(J120:L120)</f>
        <v>2.1666666666666665</v>
      </c>
      <c r="O120" s="34" t="s">
        <v>111</v>
      </c>
    </row>
    <row r="121" spans="1:15" ht="15" thickBot="1" x14ac:dyDescent="0.4"/>
    <row r="122" spans="1:15" ht="15" thickBot="1" x14ac:dyDescent="0.4">
      <c r="A122" s="17">
        <v>45512</v>
      </c>
      <c r="B122" s="18" t="s">
        <v>112</v>
      </c>
      <c r="C122" s="18"/>
      <c r="D122" s="30" t="s">
        <v>62</v>
      </c>
      <c r="E122" s="19">
        <v>0</v>
      </c>
      <c r="F122" s="19">
        <f>0+0</f>
        <v>0</v>
      </c>
      <c r="G122" s="19">
        <f>0+0</f>
        <v>0</v>
      </c>
      <c r="H122" s="19">
        <f>0+0+0.2+0.5</f>
        <v>0.7</v>
      </c>
      <c r="I122" s="19">
        <f>0.5+0.4+0+0</f>
        <v>0.9</v>
      </c>
      <c r="J122" s="19">
        <f>0.7+1+0</f>
        <v>1.7</v>
      </c>
      <c r="K122" s="19">
        <f>0+0+0+0</f>
        <v>0</v>
      </c>
      <c r="L122" s="19">
        <f>0.7+0+0.2+0</f>
        <v>0.89999999999999991</v>
      </c>
      <c r="M122" s="19"/>
      <c r="N122" s="18"/>
      <c r="O122" s="20"/>
    </row>
    <row r="123" spans="1:15" ht="15" thickBot="1" x14ac:dyDescent="0.4">
      <c r="A123" s="17">
        <v>45512</v>
      </c>
      <c r="B123" s="18" t="s">
        <v>112</v>
      </c>
      <c r="C123" s="22"/>
      <c r="D123" s="22" t="s">
        <v>57</v>
      </c>
      <c r="E123" s="23">
        <v>1</v>
      </c>
      <c r="F123" s="23">
        <v>1</v>
      </c>
      <c r="G123" s="23">
        <v>2</v>
      </c>
      <c r="H123" s="23">
        <v>4</v>
      </c>
      <c r="I123" s="23">
        <v>4</v>
      </c>
      <c r="J123" s="23">
        <v>3</v>
      </c>
      <c r="K123" s="23">
        <v>4</v>
      </c>
      <c r="L123" s="23">
        <v>4</v>
      </c>
      <c r="M123" s="23"/>
      <c r="N123" s="22"/>
      <c r="O123" s="24"/>
    </row>
    <row r="124" spans="1:15" ht="15" thickBot="1" x14ac:dyDescent="0.4">
      <c r="A124" s="17">
        <v>45512</v>
      </c>
      <c r="B124" s="18" t="s">
        <v>112</v>
      </c>
      <c r="C124" s="26"/>
      <c r="D124" s="26" t="s">
        <v>58</v>
      </c>
      <c r="E124" s="27">
        <f>IF((E122/E123*5)=0,1,IF((E122/E123*5)&gt;=3,3,IF((E122/E123*5)=5,3,E122/E123*5)))</f>
        <v>1</v>
      </c>
      <c r="F124" s="27">
        <f>IF((F122/F123*5)=0,1,IF((F122/F123*5)&gt;=3,3,IF((F122/F123*5)=5,3,F122/F123*5)))</f>
        <v>1</v>
      </c>
      <c r="G124" s="27">
        <f>IF((G122/G123*5)=0,1,IF((G122/G123*5)&gt;=3,3,IF((G122/G123*5)=5,3,G122/G123*5)))</f>
        <v>1</v>
      </c>
      <c r="H124" s="27">
        <f>IF((H122/H123*5)=0,1,IF((H122/H123*5)&gt;=3,3,IF((H122/H123*5)=5,3,H122/H123*5)))</f>
        <v>0.875</v>
      </c>
      <c r="I124" s="27">
        <f>IF((I122/I123*5)=0,1,IF((I122/I123*5)&gt;=3,3,IF((I122/I123*5)=5,3,I122/I123*5)))</f>
        <v>1.125</v>
      </c>
      <c r="J124" s="27">
        <f t="shared" ref="J124:L124" si="45">IF((J122/J123*5)=0,1,IF((J122/J123*5)&gt;=3,3,IF((J122/J123*5)=5,3,J122/J123*5)))</f>
        <v>2.833333333333333</v>
      </c>
      <c r="K124" s="27">
        <f t="shared" si="45"/>
        <v>1</v>
      </c>
      <c r="L124" s="27">
        <f t="shared" si="45"/>
        <v>1.125</v>
      </c>
      <c r="M124" s="27"/>
      <c r="N124" s="27">
        <f>AVERAGE(J124:L124)</f>
        <v>1.6527777777777777</v>
      </c>
      <c r="O124" s="34" t="s">
        <v>114</v>
      </c>
    </row>
    <row r="125" spans="1:15" ht="15" thickBot="1" x14ac:dyDescent="0.4"/>
    <row r="126" spans="1:15" ht="15" thickBot="1" x14ac:dyDescent="0.4">
      <c r="A126" s="17">
        <v>45512</v>
      </c>
      <c r="B126" s="18" t="s">
        <v>113</v>
      </c>
      <c r="C126" s="18"/>
      <c r="D126" s="30" t="s">
        <v>62</v>
      </c>
      <c r="E126" s="19">
        <v>0</v>
      </c>
      <c r="F126" s="19">
        <f>0+0</f>
        <v>0</v>
      </c>
      <c r="G126" s="19">
        <f>0+0</f>
        <v>0</v>
      </c>
      <c r="H126" s="19">
        <f>0.5+0+0+0</f>
        <v>0.5</v>
      </c>
      <c r="I126" s="19">
        <f>0.5+0.4+0+0</f>
        <v>0.9</v>
      </c>
      <c r="J126" s="19">
        <f>0+1+0</f>
        <v>1</v>
      </c>
      <c r="K126" s="19">
        <f>0+0+0+0</f>
        <v>0</v>
      </c>
      <c r="L126" s="19">
        <f>0.7+0+0.2+0</f>
        <v>0.89999999999999991</v>
      </c>
      <c r="M126" s="19"/>
      <c r="N126" s="18"/>
      <c r="O126" s="20"/>
    </row>
    <row r="127" spans="1:15" ht="15" thickBot="1" x14ac:dyDescent="0.4">
      <c r="A127" s="17">
        <v>45512</v>
      </c>
      <c r="B127" s="18" t="s">
        <v>113</v>
      </c>
      <c r="C127" s="22"/>
      <c r="D127" s="22" t="s">
        <v>57</v>
      </c>
      <c r="E127" s="23">
        <v>1</v>
      </c>
      <c r="F127" s="23">
        <v>1</v>
      </c>
      <c r="G127" s="23">
        <v>2</v>
      </c>
      <c r="H127" s="23">
        <v>4</v>
      </c>
      <c r="I127" s="23">
        <v>4</v>
      </c>
      <c r="J127" s="23">
        <v>3</v>
      </c>
      <c r="K127" s="23">
        <v>4</v>
      </c>
      <c r="L127" s="23">
        <v>4</v>
      </c>
      <c r="M127" s="23"/>
      <c r="N127" s="22"/>
      <c r="O127" s="24"/>
    </row>
    <row r="128" spans="1:15" ht="15" thickBot="1" x14ac:dyDescent="0.4">
      <c r="A128" s="17">
        <v>45512</v>
      </c>
      <c r="B128" s="18" t="s">
        <v>113</v>
      </c>
      <c r="C128" s="26"/>
      <c r="D128" s="26" t="s">
        <v>58</v>
      </c>
      <c r="E128" s="27">
        <f>IF((E126/E127*5)=0,1,IF((E126/E127*5)&gt;=3,3,IF((E126/E127*5)=5,3,E126/E127*5)))</f>
        <v>1</v>
      </c>
      <c r="F128" s="27">
        <f>IF((F126/F127*5)=0,1,IF((F126/F127*5)&gt;=3,3,IF((F126/F127*5)=5,3,F126/F127*5)))</f>
        <v>1</v>
      </c>
      <c r="G128" s="27">
        <f>IF((G126/G127*5)=0,1,IF((G126/G127*5)&gt;=3,3,IF((G126/G127*5)=5,3,G126/G127*5)))</f>
        <v>1</v>
      </c>
      <c r="H128" s="27">
        <f>IF((H126/H127*5)=0,1,IF((H126/H127*5)&gt;=3,3,IF((H126/H127*5)=5,3,H126/H127*5)))</f>
        <v>0.625</v>
      </c>
      <c r="I128" s="27">
        <f>IF((I126/I127*5)=0,1,IF((I126/I127*5)&gt;=3,3,IF((I126/I127*5)=5,3,I126/I127*5)))</f>
        <v>1.125</v>
      </c>
      <c r="J128" s="27">
        <f t="shared" ref="J128:L128" si="46">IF((J126/J127*5)=0,1,IF((J126/J127*5)&gt;=3,3,IF((J126/J127*5)=5,3,J126/J127*5)))</f>
        <v>1.6666666666666665</v>
      </c>
      <c r="K128" s="27">
        <f t="shared" si="46"/>
        <v>1</v>
      </c>
      <c r="L128" s="27">
        <f t="shared" si="46"/>
        <v>1.125</v>
      </c>
      <c r="M128" s="27"/>
      <c r="N128" s="27">
        <f>AVERAGE(J128:L128)</f>
        <v>1.2638888888888888</v>
      </c>
      <c r="O128" s="34" t="s">
        <v>114</v>
      </c>
    </row>
    <row r="129" spans="1:15" ht="15" thickBot="1" x14ac:dyDescent="0.4"/>
    <row r="130" spans="1:15" ht="15" thickBot="1" x14ac:dyDescent="0.4">
      <c r="A130" s="17">
        <v>45524</v>
      </c>
      <c r="B130" s="18" t="s">
        <v>115</v>
      </c>
      <c r="C130" s="18"/>
      <c r="D130" s="30" t="s">
        <v>62</v>
      </c>
      <c r="E130" s="19">
        <v>0</v>
      </c>
      <c r="F130" s="19">
        <f>0+0</f>
        <v>0</v>
      </c>
      <c r="G130" s="19">
        <f>0+0</f>
        <v>0</v>
      </c>
      <c r="H130" s="19">
        <f>0+0.5+0.4+0.2</f>
        <v>1.1000000000000001</v>
      </c>
      <c r="I130" s="19">
        <f>0.5+0.5+0.3+0</f>
        <v>1.3</v>
      </c>
      <c r="J130" s="19">
        <f>0+0.4+0</f>
        <v>0.4</v>
      </c>
      <c r="K130" s="19">
        <f>0+0.4+0+0</f>
        <v>0.4</v>
      </c>
      <c r="L130" s="19">
        <f>0.3+0.2+0.2+0.2</f>
        <v>0.89999999999999991</v>
      </c>
      <c r="M130" s="19"/>
      <c r="N130" s="18"/>
      <c r="O130" s="20"/>
    </row>
    <row r="131" spans="1:15" ht="15" thickBot="1" x14ac:dyDescent="0.4">
      <c r="A131" s="17">
        <v>45524</v>
      </c>
      <c r="B131" s="18" t="s">
        <v>115</v>
      </c>
      <c r="C131" s="22"/>
      <c r="D131" s="22" t="s">
        <v>57</v>
      </c>
      <c r="E131" s="23">
        <v>1</v>
      </c>
      <c r="F131" s="23">
        <v>1</v>
      </c>
      <c r="G131" s="23">
        <v>2</v>
      </c>
      <c r="H131" s="23">
        <v>4</v>
      </c>
      <c r="I131" s="23">
        <v>4</v>
      </c>
      <c r="J131" s="23">
        <v>3</v>
      </c>
      <c r="K131" s="23">
        <v>4</v>
      </c>
      <c r="L131" s="23">
        <v>4</v>
      </c>
      <c r="M131" s="23"/>
      <c r="N131" s="22"/>
      <c r="O131" s="24"/>
    </row>
    <row r="132" spans="1:15" ht="15" thickBot="1" x14ac:dyDescent="0.4">
      <c r="A132" s="17">
        <v>45524</v>
      </c>
      <c r="B132" s="18" t="s">
        <v>115</v>
      </c>
      <c r="C132" s="26"/>
      <c r="D132" s="26" t="s">
        <v>58</v>
      </c>
      <c r="E132" s="27">
        <f>IF((E130/E131*5)=0,1,IF((E130/E131*5)&lt;=1,1,IF((E130/E131*5)&gt;=3,3,IF((E130/E131*5)=5,3,E130/E131*5))))</f>
        <v>1</v>
      </c>
      <c r="F132" s="27">
        <f>IF((F130/F131*5)=0,1,IF((F130/F131*5)&lt;=1,1,IF((F130/F131*5)&gt;=3,3,IF((F130/F131*5)=5,3,F130/F131*5))))</f>
        <v>1</v>
      </c>
      <c r="G132" s="27">
        <f>IF((G130/G131*5)=0,1,IF((G130/G131*5)&lt;=1,1,IF((G130/G131*5)&gt;=3,3,IF((G130/G131*5)=5,3,G130/G131*5))))</f>
        <v>1</v>
      </c>
      <c r="H132" s="27">
        <f>IF((H130/H131*5)=0,1,IF((H130/H131*5)&lt;=1,1,IF((H130/H131*5)&gt;=3,3,IF((H130/H131*5)=5,3,H130/H131*5))))</f>
        <v>1.375</v>
      </c>
      <c r="I132" s="27">
        <f>IF((I130/I131*5)=0,1,IF((I130/I131*5)&lt;=1,1,IF((I130/I131*5)&gt;=3,3,IF((I130/I131*5)=5,3,I130/I131*5))))</f>
        <v>1.625</v>
      </c>
      <c r="J132" s="27">
        <f t="shared" ref="J132:L132" si="47">IF((J130/J131*5)=0,1,IF((J130/J131*5)&lt;=1,1,IF((J130/J131*5)&gt;=3,3,IF((J130/J131*5)=5,3,J130/J131*5))))</f>
        <v>1</v>
      </c>
      <c r="K132" s="27">
        <f t="shared" si="47"/>
        <v>1</v>
      </c>
      <c r="L132" s="27">
        <f t="shared" si="47"/>
        <v>1.125</v>
      </c>
      <c r="M132" s="27"/>
      <c r="N132" s="27">
        <f>AVERAGE(J132:L132)</f>
        <v>1.0416666666666667</v>
      </c>
      <c r="O132" s="34" t="s">
        <v>114</v>
      </c>
    </row>
    <row r="133" spans="1:15" ht="15" thickBot="1" x14ac:dyDescent="0.4"/>
    <row r="134" spans="1:15" ht="15" thickBot="1" x14ac:dyDescent="0.4">
      <c r="A134" s="17">
        <v>45524</v>
      </c>
      <c r="B134" s="18" t="s">
        <v>116</v>
      </c>
      <c r="C134" s="18"/>
      <c r="D134" s="30" t="s">
        <v>62</v>
      </c>
      <c r="E134" s="19">
        <v>0.5</v>
      </c>
      <c r="F134" s="19">
        <f>0+0</f>
        <v>0</v>
      </c>
      <c r="G134" s="19">
        <f>0+1</f>
        <v>1</v>
      </c>
      <c r="H134" s="19">
        <f>0.7+0.5+0.5+0</f>
        <v>1.7</v>
      </c>
      <c r="I134" s="19">
        <f>0.3+0.5+0.6+0</f>
        <v>1.4</v>
      </c>
      <c r="J134" s="19">
        <f>0+0+0</f>
        <v>0</v>
      </c>
      <c r="K134" s="19">
        <f>0.4+0.2+0+0</f>
        <v>0.60000000000000009</v>
      </c>
      <c r="L134" s="19">
        <f>0.4+0.2+0.3+0</f>
        <v>0.90000000000000013</v>
      </c>
      <c r="M134" s="19"/>
      <c r="N134" s="18"/>
      <c r="O134" s="20"/>
    </row>
    <row r="135" spans="1:15" ht="15" thickBot="1" x14ac:dyDescent="0.4">
      <c r="A135" s="17">
        <v>45524</v>
      </c>
      <c r="B135" s="18" t="s">
        <v>116</v>
      </c>
      <c r="C135" s="22"/>
      <c r="D135" s="22" t="s">
        <v>57</v>
      </c>
      <c r="E135" s="23">
        <v>1</v>
      </c>
      <c r="F135" s="23">
        <v>1</v>
      </c>
      <c r="G135" s="23">
        <v>2</v>
      </c>
      <c r="H135" s="23">
        <v>4</v>
      </c>
      <c r="I135" s="23">
        <v>4</v>
      </c>
      <c r="J135" s="23">
        <v>3</v>
      </c>
      <c r="K135" s="23">
        <v>4</v>
      </c>
      <c r="L135" s="23">
        <v>4</v>
      </c>
      <c r="M135" s="23"/>
      <c r="N135" s="22"/>
      <c r="O135" s="24"/>
    </row>
    <row r="136" spans="1:15" ht="15" thickBot="1" x14ac:dyDescent="0.4">
      <c r="A136" s="17">
        <v>45524</v>
      </c>
      <c r="B136" s="18" t="s">
        <v>116</v>
      </c>
      <c r="C136" s="26"/>
      <c r="D136" s="26" t="s">
        <v>58</v>
      </c>
      <c r="E136" s="27">
        <f>IF((E134/E135*5)=0,1,IF((E134/E135*5)&lt;=1,1,IF((E134/E135*5)&gt;=3,3,IF((E134/E135*5)=5,3,E134/E135*5))))</f>
        <v>2.5</v>
      </c>
      <c r="F136" s="27">
        <f>IF((F134/F135*5)=0,1,IF((F134/F135*5)&lt;=1,1,IF((F134/F135*5)&gt;=3,3,IF((F134/F135*5)=5,3,F134/F135*5))))</f>
        <v>1</v>
      </c>
      <c r="G136" s="27">
        <f>IF((G134/G135*5)=0,1,IF((G134/G135*5)&lt;=1,1,IF((G134/G135*5)&gt;=3,3,IF((G134/G135*5)=5,3,G134/G135*5))))</f>
        <v>2.5</v>
      </c>
      <c r="H136" s="27">
        <f>IF((H134/H135*5)=0,1,IF((H134/H135*5)&lt;=1,1,IF((H134/H135*5)&gt;=3,3,IF((H134/H135*5)=5,3,H134/H135*5))))</f>
        <v>2.125</v>
      </c>
      <c r="I136" s="27">
        <f>IF((I134/I135*5)=0,1,IF((I134/I135*5)&lt;=1,1,IF((I134/I135*5)&gt;=3,3,IF((I134/I135*5)=5,3,I134/I135*5))))</f>
        <v>1.75</v>
      </c>
      <c r="J136" s="27">
        <f t="shared" ref="J136:L136" si="48">IF((J134/J135*5)=0,1,IF((J134/J135*5)&lt;=1,1,IF((J134/J135*5)&gt;=3,3,IF((J134/J135*5)=5,3,J134/J135*5))))</f>
        <v>1</v>
      </c>
      <c r="K136" s="27">
        <f t="shared" si="48"/>
        <v>1</v>
      </c>
      <c r="L136" s="27">
        <f t="shared" si="48"/>
        <v>1.1250000000000002</v>
      </c>
      <c r="M136" s="27"/>
      <c r="N136" s="27">
        <f>AVERAGE(J136:L136)</f>
        <v>1.0416666666666667</v>
      </c>
      <c r="O136" s="34" t="s">
        <v>117</v>
      </c>
    </row>
    <row r="137" spans="1:15" ht="15" thickBot="1" x14ac:dyDescent="0.4"/>
    <row r="138" spans="1:15" ht="15" thickBot="1" x14ac:dyDescent="0.4">
      <c r="A138" s="17">
        <v>45525</v>
      </c>
      <c r="B138" s="18" t="s">
        <v>118</v>
      </c>
      <c r="C138" s="18" t="s">
        <v>119</v>
      </c>
      <c r="D138" s="30" t="s">
        <v>62</v>
      </c>
      <c r="E138" s="19">
        <v>1</v>
      </c>
      <c r="F138" s="19">
        <f>0+0</f>
        <v>0</v>
      </c>
      <c r="G138" s="19">
        <f>1+1</f>
        <v>2</v>
      </c>
      <c r="H138" s="19">
        <f>0.3+0.5+0.5+1</f>
        <v>2.2999999999999998</v>
      </c>
      <c r="I138" s="19">
        <f>0.3+0.4+0.2</f>
        <v>0.89999999999999991</v>
      </c>
      <c r="J138" s="19">
        <f>0+0.5</f>
        <v>0.5</v>
      </c>
      <c r="K138" s="19">
        <f>0+0</f>
        <v>0</v>
      </c>
      <c r="L138" s="19">
        <f>0.3+0.3+0.3+0.1</f>
        <v>0.99999999999999989</v>
      </c>
      <c r="M138" s="19"/>
      <c r="N138" s="18"/>
      <c r="O138" s="20" t="s">
        <v>120</v>
      </c>
    </row>
    <row r="139" spans="1:15" ht="15" thickBot="1" x14ac:dyDescent="0.4">
      <c r="A139" s="17">
        <v>45525</v>
      </c>
      <c r="B139" s="18" t="s">
        <v>118</v>
      </c>
      <c r="C139" s="22"/>
      <c r="D139" s="22" t="s">
        <v>57</v>
      </c>
      <c r="E139" s="23">
        <v>1</v>
      </c>
      <c r="F139" s="23">
        <v>1</v>
      </c>
      <c r="G139" s="23">
        <v>2</v>
      </c>
      <c r="H139" s="23">
        <v>4</v>
      </c>
      <c r="I139" s="23">
        <v>3</v>
      </c>
      <c r="J139" s="23">
        <v>2</v>
      </c>
      <c r="K139" s="23">
        <v>2</v>
      </c>
      <c r="L139" s="23">
        <v>4</v>
      </c>
      <c r="M139" s="23"/>
      <c r="N139" s="22"/>
      <c r="O139" s="24"/>
    </row>
    <row r="140" spans="1:15" ht="15" thickBot="1" x14ac:dyDescent="0.4">
      <c r="A140" s="17">
        <v>45525</v>
      </c>
      <c r="B140" s="18" t="s">
        <v>118</v>
      </c>
      <c r="C140" s="26"/>
      <c r="D140" s="26" t="s">
        <v>58</v>
      </c>
      <c r="E140" s="27">
        <f t="shared" ref="E140" si="49">IF((E138/E139*5)=0,1,IF((E138/E139*5)&lt;=1,1,IF((E138/E139*5)&gt;=3,3,IF((E138/E139*5)=5,3,E138/E139*5))))</f>
        <v>3</v>
      </c>
      <c r="F140" s="27">
        <f t="shared" ref="F140" si="50">IF((F138/F139*5)=0,1,IF((F138/F139*5)&lt;=1,1,IF((F138/F139*5)&gt;=3,3,IF((F138/F139*5)=5,3,F138/F139*5))))</f>
        <v>1</v>
      </c>
      <c r="G140" s="27">
        <f t="shared" ref="G140" si="51">IF((G138/G139*5)=0,1,IF((G138/G139*5)&lt;=1,1,IF((G138/G139*5)&gt;=3,3,IF((G138/G139*5)=5,3,G138/G139*5))))</f>
        <v>3</v>
      </c>
      <c r="H140" s="27">
        <f t="shared" ref="H140" si="52">IF((H138/H139*5)=0,1,IF((H138/H139*5)&lt;=1,1,IF((H138/H139*5)&gt;=3,3,IF((H138/H139*5)=5,3,H138/H139*5))))</f>
        <v>2.875</v>
      </c>
      <c r="I140" s="27">
        <f t="shared" ref="I140" si="53">IF((I138/I139*5)=0,1,IF((I138/I139*5)&lt;=1,1,IF((I138/I139*5)&gt;=3,3,IF((I138/I139*5)=5,3,I138/I139*5))))</f>
        <v>1.5</v>
      </c>
      <c r="J140" s="27">
        <f t="shared" ref="J140" si="54">IF((J138/J139*5)=0,1,IF((J138/J139*5)&lt;=1,1,IF((J138/J139*5)&gt;=3,3,IF((J138/J139*5)=5,3,J138/J139*5))))</f>
        <v>1.25</v>
      </c>
      <c r="K140" s="27">
        <f t="shared" ref="K140" si="55">IF((K138/K139*5)=0,1,IF((K138/K139*5)&lt;=1,1,IF((K138/K139*5)&gt;=3,3,IF((K138/K139*5)=5,3,K138/K139*5))))</f>
        <v>1</v>
      </c>
      <c r="L140" s="27">
        <f t="shared" ref="L140" si="56">IF((L138/L139*5)=0,1,IF((L138/L139*5)&lt;=1,1,IF((L138/L139*5)&gt;=3,3,IF((L138/L139*5)=5,3,L138/L139*5))))</f>
        <v>1.2499999999999998</v>
      </c>
      <c r="M140" s="27"/>
      <c r="N140" s="27">
        <f>AVERAGE(J140:L140)</f>
        <v>1.1666666666666667</v>
      </c>
      <c r="O140" s="34" t="s">
        <v>121</v>
      </c>
    </row>
    <row r="141" spans="1:15" ht="15" thickBot="1" x14ac:dyDescent="0.4"/>
    <row r="142" spans="1:15" ht="15" thickBot="1" x14ac:dyDescent="0.4">
      <c r="A142" s="17">
        <v>45526</v>
      </c>
      <c r="B142" s="18" t="s">
        <v>122</v>
      </c>
      <c r="C142" s="18" t="s">
        <v>119</v>
      </c>
      <c r="D142" s="30" t="s">
        <v>62</v>
      </c>
      <c r="E142" s="19">
        <v>0</v>
      </c>
      <c r="F142" s="19">
        <v>0</v>
      </c>
      <c r="G142" s="19">
        <f>0+0</f>
        <v>0</v>
      </c>
      <c r="H142" s="19">
        <f>0+0.6+0.6+0.4</f>
        <v>1.6</v>
      </c>
      <c r="I142" s="19">
        <f>0.4+0.6+0.2</f>
        <v>1.2</v>
      </c>
      <c r="J142" s="19">
        <f>0.6+0.6</f>
        <v>1.2</v>
      </c>
      <c r="K142" s="19">
        <f>0.7+0.2</f>
        <v>0.89999999999999991</v>
      </c>
      <c r="L142" s="19">
        <f>0.3+0.5+0.5+0.1</f>
        <v>1.4000000000000001</v>
      </c>
      <c r="M142" s="19"/>
      <c r="N142" s="18"/>
      <c r="O142" s="20"/>
    </row>
    <row r="143" spans="1:15" ht="15" thickBot="1" x14ac:dyDescent="0.4">
      <c r="A143" s="17">
        <v>45526</v>
      </c>
      <c r="B143" s="18" t="s">
        <v>122</v>
      </c>
      <c r="C143" s="22"/>
      <c r="D143" s="22" t="s">
        <v>57</v>
      </c>
      <c r="E143" s="23">
        <v>1</v>
      </c>
      <c r="F143" s="23">
        <v>1</v>
      </c>
      <c r="G143" s="23">
        <v>2</v>
      </c>
      <c r="H143" s="23">
        <v>4</v>
      </c>
      <c r="I143" s="23">
        <v>3</v>
      </c>
      <c r="J143" s="23">
        <v>2</v>
      </c>
      <c r="K143" s="23">
        <v>2</v>
      </c>
      <c r="L143" s="23">
        <v>4</v>
      </c>
      <c r="M143" s="23"/>
      <c r="N143" s="22"/>
      <c r="O143" s="24"/>
    </row>
    <row r="144" spans="1:15" ht="15" thickBot="1" x14ac:dyDescent="0.4">
      <c r="A144" s="17">
        <v>45526</v>
      </c>
      <c r="B144" s="18" t="s">
        <v>122</v>
      </c>
      <c r="C144" s="26"/>
      <c r="D144" s="26" t="s">
        <v>58</v>
      </c>
      <c r="E144" s="27">
        <f>IF((E142/E143*5)=0,1,IF((E142/E143*5)&lt;=1,1,IF((E142/E143*5)&gt;=3,3,IF((E142/E143*5)=5,3,E142/E143*5))))</f>
        <v>1</v>
      </c>
      <c r="F144" s="27">
        <f>IF((F142/F143*5)=0,1,IF((F142/F143*5)&lt;=1,1,IF((F142/F143*5)&gt;=3,3,IF((F142/F143*5)=5,3,F142/F143*5))))</f>
        <v>1</v>
      </c>
      <c r="G144" s="27">
        <f>IF((G142/G143*5)=0,1,IF((G142/G143*5)&lt;=1,1,IF((G142/G143*5)&gt;=3,3,IF((G142/G143*5)=5,3,G142/G143*5))))</f>
        <v>1</v>
      </c>
      <c r="H144" s="27">
        <f>IF((H142/H143*5)=0,1,IF((H142/H143*5)&lt;=1,1,IF((H142/H143*5)&gt;=3,3,IF((H142/H143*5)=5,3,H142/H143*5))))</f>
        <v>2</v>
      </c>
      <c r="I144" s="27">
        <f>IF((I142/I143*5)=0,1,IF((I142/I143*5)&lt;=1,1,IF((I142/I143*5)&gt;=3,3,IF((I142/I143*5)=5,3,I142/I143*5))))</f>
        <v>1.9999999999999998</v>
      </c>
      <c r="J144" s="27">
        <f t="shared" ref="J144:L144" si="57">IF((J142/J143*5)=0,1,IF((J142/J143*5)&lt;=1,1,IF((J142/J143*5)&gt;=3,3,IF((J142/J143*5)=5,3,J142/J143*5))))</f>
        <v>3</v>
      </c>
      <c r="K144" s="27">
        <f t="shared" si="57"/>
        <v>2.25</v>
      </c>
      <c r="L144" s="27">
        <f t="shared" si="57"/>
        <v>1.7500000000000002</v>
      </c>
      <c r="M144" s="27"/>
      <c r="N144" s="27">
        <f>AVERAGE(J144:L144)</f>
        <v>2.3333333333333335</v>
      </c>
      <c r="O144" s="34" t="s">
        <v>123</v>
      </c>
    </row>
    <row r="145" spans="1:15" ht="15" thickBot="1" x14ac:dyDescent="0.4"/>
    <row r="146" spans="1:15" ht="15" thickBot="1" x14ac:dyDescent="0.4">
      <c r="A146" s="17">
        <v>45526</v>
      </c>
      <c r="B146" s="18" t="s">
        <v>124</v>
      </c>
      <c r="C146" s="18"/>
      <c r="D146" s="30" t="s">
        <v>62</v>
      </c>
      <c r="E146" s="19">
        <v>0</v>
      </c>
      <c r="F146" s="19">
        <f>0+0</f>
        <v>0</v>
      </c>
      <c r="G146" s="19">
        <f>0+0</f>
        <v>0</v>
      </c>
      <c r="H146" s="19">
        <f>0+0.2+0.4+0</f>
        <v>0.60000000000000009</v>
      </c>
      <c r="I146" s="19">
        <f>0.3+0.3+0.4+0</f>
        <v>1</v>
      </c>
      <c r="J146" s="19">
        <f>0.5+0.4+0.3</f>
        <v>1.2</v>
      </c>
      <c r="K146" s="19">
        <f>0.2+0.2+0.2+0</f>
        <v>0.60000000000000009</v>
      </c>
      <c r="L146" s="19">
        <f>0.2+0.3+0.3+0.3</f>
        <v>1.1000000000000001</v>
      </c>
      <c r="M146" s="19"/>
      <c r="N146" s="18"/>
      <c r="O146" s="20"/>
    </row>
    <row r="147" spans="1:15" ht="15" thickBot="1" x14ac:dyDescent="0.4">
      <c r="A147" s="17">
        <v>45526</v>
      </c>
      <c r="B147" s="18" t="s">
        <v>124</v>
      </c>
      <c r="C147" s="22"/>
      <c r="D147" s="22" t="s">
        <v>57</v>
      </c>
      <c r="E147" s="23">
        <v>1</v>
      </c>
      <c r="F147" s="23">
        <v>1</v>
      </c>
      <c r="G147" s="23">
        <v>2</v>
      </c>
      <c r="H147" s="23">
        <v>4</v>
      </c>
      <c r="I147" s="23">
        <v>4</v>
      </c>
      <c r="J147" s="23">
        <v>3</v>
      </c>
      <c r="K147" s="23">
        <v>4</v>
      </c>
      <c r="L147" s="23">
        <v>4</v>
      </c>
      <c r="M147" s="23"/>
      <c r="N147" s="22"/>
      <c r="O147" s="24"/>
    </row>
    <row r="148" spans="1:15" ht="15" thickBot="1" x14ac:dyDescent="0.4">
      <c r="A148" s="17">
        <v>45526</v>
      </c>
      <c r="B148" s="18" t="s">
        <v>124</v>
      </c>
      <c r="C148" s="26"/>
      <c r="D148" s="26" t="s">
        <v>58</v>
      </c>
      <c r="E148" s="27">
        <f>IF((E146/E147*5)=0,1,IF((E146/E147*5)&lt;=1,1,IF((E146/E147*5)&gt;=3,3,IF((E146/E147*5)=5,3,E146/E147*5))))</f>
        <v>1</v>
      </c>
      <c r="F148" s="27">
        <f>IF((F146/F147*5)=0,1,IF((F146/F147*5)&lt;=1,1,IF((F146/F147*5)&gt;=3,3,IF((F146/F147*5)=5,3,F146/F147*5))))</f>
        <v>1</v>
      </c>
      <c r="G148" s="27">
        <f>IF((G146/G147*5)=0,1,IF((G146/G147*5)&lt;=1,1,IF((G146/G147*5)&gt;=3,3,IF((G146/G147*5)=5,3,G146/G147*5))))</f>
        <v>1</v>
      </c>
      <c r="H148" s="27">
        <f>IF((H146/H147*5)=0,1,IF((H146/H147*5)&lt;=1,1,IF((H146/H147*5)&gt;=3,3,IF((H146/H147*5)=5,3,H146/H147*5))))</f>
        <v>1</v>
      </c>
      <c r="I148" s="27">
        <f>IF((I146/I147*5)=0,1,IF((I146/I147*5)&lt;=1,1,IF((I146/I147*5)&gt;=3,3,IF((I146/I147*5)=5,3,I146/I147*5))))</f>
        <v>1.25</v>
      </c>
      <c r="J148" s="27">
        <f t="shared" ref="J148:L148" si="58">IF((J146/J147*5)=0,1,IF((J146/J147*5)&lt;=1,1,IF((J146/J147*5)&gt;=3,3,IF((J146/J147*5)=5,3,J146/J147*5))))</f>
        <v>1.9999999999999998</v>
      </c>
      <c r="K148" s="27">
        <f t="shared" si="58"/>
        <v>1</v>
      </c>
      <c r="L148" s="27">
        <f t="shared" si="58"/>
        <v>1.375</v>
      </c>
      <c r="M148" s="27"/>
      <c r="N148" s="27">
        <f>AVERAGE(J148:L148)</f>
        <v>1.4583333333333333</v>
      </c>
      <c r="O148" s="34" t="s">
        <v>114</v>
      </c>
    </row>
    <row r="149" spans="1:15" ht="15" thickBot="1" x14ac:dyDescent="0.4"/>
    <row r="150" spans="1:15" ht="15" thickBot="1" x14ac:dyDescent="0.4">
      <c r="A150" s="17">
        <v>45526</v>
      </c>
      <c r="B150" s="18" t="s">
        <v>112</v>
      </c>
      <c r="C150" s="18" t="s">
        <v>119</v>
      </c>
      <c r="D150" s="30" t="s">
        <v>62</v>
      </c>
      <c r="E150" s="19">
        <v>0</v>
      </c>
      <c r="F150" s="19">
        <f>0+0</f>
        <v>0</v>
      </c>
      <c r="G150" s="19">
        <f>0+0</f>
        <v>0</v>
      </c>
      <c r="H150" s="19">
        <f>0+0.5+0.5+0.4</f>
        <v>1.4</v>
      </c>
      <c r="I150" s="19">
        <f>0.3+0+0+0.3</f>
        <v>0.6</v>
      </c>
      <c r="J150" s="19">
        <f>0.5+0.4+0</f>
        <v>0.9</v>
      </c>
      <c r="K150" s="19">
        <f>0.4+0.5+0+0</f>
        <v>0.9</v>
      </c>
      <c r="L150" s="19">
        <f>0.5+0+0+0</f>
        <v>0.5</v>
      </c>
      <c r="M150" s="19"/>
      <c r="N150" s="18"/>
      <c r="O150" s="20"/>
    </row>
    <row r="151" spans="1:15" ht="15" thickBot="1" x14ac:dyDescent="0.4">
      <c r="A151" s="17">
        <v>45526</v>
      </c>
      <c r="B151" s="18" t="s">
        <v>112</v>
      </c>
      <c r="C151" s="22"/>
      <c r="D151" s="22" t="s">
        <v>57</v>
      </c>
      <c r="E151" s="23">
        <v>1</v>
      </c>
      <c r="F151" s="23">
        <v>1</v>
      </c>
      <c r="G151" s="23">
        <v>2</v>
      </c>
      <c r="H151" s="23">
        <v>4</v>
      </c>
      <c r="I151" s="23">
        <v>4</v>
      </c>
      <c r="J151" s="23">
        <v>3</v>
      </c>
      <c r="K151" s="23">
        <v>4</v>
      </c>
      <c r="L151" s="23">
        <v>4</v>
      </c>
      <c r="M151" s="23"/>
      <c r="N151" s="22"/>
      <c r="O151" s="24"/>
    </row>
    <row r="152" spans="1:15" ht="15" thickBot="1" x14ac:dyDescent="0.4">
      <c r="A152" s="17">
        <v>45526</v>
      </c>
      <c r="B152" s="18" t="s">
        <v>112</v>
      </c>
      <c r="C152" s="26"/>
      <c r="D152" s="26" t="s">
        <v>58</v>
      </c>
      <c r="E152" s="27">
        <f>IF((E150/E151*5)=0,1,IF((E150/E151*5)&lt;=1,1,IF((E150/E151*5)&gt;=3,3,IF((E150/E151*5)=5,3,E150/E151*5))))</f>
        <v>1</v>
      </c>
      <c r="F152" s="27">
        <f>IF((F150/F151*5)=0,1,IF((F150/F151*5)&lt;=1,1,IF((F150/F151*5)&gt;=3,3,IF((F150/F151*5)=5,3,F150/F151*5))))</f>
        <v>1</v>
      </c>
      <c r="G152" s="27">
        <f>IF((G150/G151*5)=0,1,IF((G150/G151*5)&lt;=1,1,IF((G150/G151*5)&gt;=3,3,IF((G150/G151*5)=5,3,G150/G151*5))))</f>
        <v>1</v>
      </c>
      <c r="H152" s="27">
        <f>IF((H150/H151*5)=0,1,IF((H150/H151*5)&lt;=1,1,IF((H150/H151*5)&gt;=3,3,IF((H150/H151*5)=5,3,H150/H151*5))))</f>
        <v>1.75</v>
      </c>
      <c r="I152" s="27">
        <f>IF((I150/I151*5)=0,1,IF((I150/I151*5)&lt;=1,1,IF((I150/I151*5)&gt;=3,3,IF((I150/I151*5)=5,3,I150/I151*5))))</f>
        <v>1</v>
      </c>
      <c r="J152" s="27">
        <f t="shared" ref="J152:L152" si="59">IF((J150/J151*5)=0,1,IF((J150/J151*5)&lt;=1,1,IF((J150/J151*5)&gt;=3,3,IF((J150/J151*5)=5,3,J150/J151*5))))</f>
        <v>1.5</v>
      </c>
      <c r="K152" s="27">
        <f t="shared" si="59"/>
        <v>1.125</v>
      </c>
      <c r="L152" s="27">
        <f t="shared" si="59"/>
        <v>1</v>
      </c>
      <c r="M152" s="27"/>
      <c r="N152" s="27">
        <f>AVERAGE(J152:L152)</f>
        <v>1.2083333333333333</v>
      </c>
      <c r="O152" s="34" t="s">
        <v>114</v>
      </c>
    </row>
    <row r="153" spans="1:15" ht="15" thickBot="1" x14ac:dyDescent="0.4"/>
    <row r="154" spans="1:15" ht="15" thickBot="1" x14ac:dyDescent="0.4">
      <c r="A154" s="17">
        <v>45526</v>
      </c>
      <c r="B154" s="18" t="s">
        <v>125</v>
      </c>
      <c r="C154" s="18" t="s">
        <v>119</v>
      </c>
      <c r="D154" s="30" t="s">
        <v>62</v>
      </c>
      <c r="E154" s="19">
        <v>0</v>
      </c>
      <c r="F154" s="19">
        <f>0+0</f>
        <v>0</v>
      </c>
      <c r="G154" s="19">
        <f>1+1</f>
        <v>2</v>
      </c>
      <c r="H154" s="19">
        <f>0+0.5+0.4+0.7</f>
        <v>1.6</v>
      </c>
      <c r="I154" s="19">
        <f>0.4+0+0+0.3</f>
        <v>0.7</v>
      </c>
      <c r="J154" s="19">
        <f>0+0+0</f>
        <v>0</v>
      </c>
      <c r="K154" s="19">
        <f>0+0.3+0+0</f>
        <v>0.3</v>
      </c>
      <c r="L154" s="19">
        <f>0.4+0+0.4+0.7</f>
        <v>1.5</v>
      </c>
      <c r="M154" s="19"/>
      <c r="N154" s="18"/>
      <c r="O154" s="20"/>
    </row>
    <row r="155" spans="1:15" ht="15" thickBot="1" x14ac:dyDescent="0.4">
      <c r="A155" s="17">
        <v>45526</v>
      </c>
      <c r="B155" s="18" t="s">
        <v>125</v>
      </c>
      <c r="C155" s="22"/>
      <c r="D155" s="22" t="s">
        <v>57</v>
      </c>
      <c r="E155" s="23">
        <v>1</v>
      </c>
      <c r="F155" s="23">
        <v>1</v>
      </c>
      <c r="G155" s="23">
        <v>2</v>
      </c>
      <c r="H155" s="23">
        <v>4</v>
      </c>
      <c r="I155" s="23">
        <v>4</v>
      </c>
      <c r="J155" s="23">
        <v>3</v>
      </c>
      <c r="K155" s="23">
        <v>4</v>
      </c>
      <c r="L155" s="23">
        <v>4</v>
      </c>
      <c r="M155" s="23"/>
      <c r="N155" s="22"/>
      <c r="O155" s="24"/>
    </row>
    <row r="156" spans="1:15" ht="15" thickBot="1" x14ac:dyDescent="0.4">
      <c r="A156" s="17">
        <v>45526</v>
      </c>
      <c r="B156" s="18" t="s">
        <v>125</v>
      </c>
      <c r="C156" s="26"/>
      <c r="D156" s="26" t="s">
        <v>58</v>
      </c>
      <c r="E156" s="27">
        <f>IF((E154/E155*5)=0,1,IF((E154/E155*5)&lt;=1,1,IF((E154/E155*5)&gt;=3,3,IF((E154/E155*5)=5,3,E154/E155*5))))</f>
        <v>1</v>
      </c>
      <c r="F156" s="27">
        <f>IF((F154/F155*5)=0,1,IF((F154/F155*5)&lt;=1,1,IF((F154/F155*5)&gt;=3,3,IF((F154/F155*5)=5,3,F154/F155*5))))</f>
        <v>1</v>
      </c>
      <c r="G156" s="27">
        <f>IF((G154/G155*5)=0,1,IF((G154/G155*5)&lt;=1,1,IF((G154/G155*5)&gt;=3,3,IF((G154/G155*5)=5,3,G154/G155*5))))</f>
        <v>3</v>
      </c>
      <c r="H156" s="27">
        <f>IF((H154/H155*5)=0,1,IF((H154/H155*5)&lt;=1,1,IF((H154/H155*5)&gt;=3,3,IF((H154/H155*5)=5,3,H154/H155*5))))</f>
        <v>2</v>
      </c>
      <c r="I156" s="27">
        <f>IF((I154/I155*5)=0,1,IF((I154/I155*5)&lt;=1,1,IF((I154/I155*5)&gt;=3,3,IF((I154/I155*5)=5,3,I154/I155*5))))</f>
        <v>1</v>
      </c>
      <c r="J156" s="27">
        <f t="shared" ref="J156:L156" si="60">IF((J154/J155*5)=0,1,IF((J154/J155*5)&lt;=1,1,IF((J154/J155*5)&gt;=3,3,IF((J154/J155*5)=5,3,J154/J155*5))))</f>
        <v>1</v>
      </c>
      <c r="K156" s="27">
        <f t="shared" si="60"/>
        <v>1</v>
      </c>
      <c r="L156" s="27">
        <f t="shared" si="60"/>
        <v>1.875</v>
      </c>
      <c r="M156" s="27"/>
      <c r="N156" s="27">
        <f>AVERAGE(J156:L156)</f>
        <v>1.2916666666666667</v>
      </c>
      <c r="O156" s="34" t="s">
        <v>126</v>
      </c>
    </row>
    <row r="157" spans="1:15" ht="15" thickBot="1" x14ac:dyDescent="0.4"/>
    <row r="158" spans="1:15" ht="15" thickBot="1" x14ac:dyDescent="0.4">
      <c r="A158" s="17">
        <v>45527</v>
      </c>
      <c r="B158" s="18" t="s">
        <v>127</v>
      </c>
      <c r="C158" s="18"/>
      <c r="D158" s="30" t="s">
        <v>62</v>
      </c>
      <c r="E158" s="19">
        <v>0</v>
      </c>
      <c r="F158" s="19">
        <f>0+0</f>
        <v>0</v>
      </c>
      <c r="G158" s="19">
        <f>0+0</f>
        <v>0</v>
      </c>
      <c r="H158" s="19">
        <f>0+0+0+0</f>
        <v>0</v>
      </c>
      <c r="I158" s="19">
        <f>0+0+0+0</f>
        <v>0</v>
      </c>
      <c r="J158" s="19">
        <f>0+0+0</f>
        <v>0</v>
      </c>
      <c r="K158" s="19">
        <f>0+0+0+0</f>
        <v>0</v>
      </c>
      <c r="L158" s="19">
        <f>0+0+0+0</f>
        <v>0</v>
      </c>
      <c r="M158" s="19"/>
      <c r="N158" s="18"/>
      <c r="O158" s="20"/>
    </row>
    <row r="159" spans="1:15" ht="15" thickBot="1" x14ac:dyDescent="0.4">
      <c r="A159" s="17">
        <v>45527</v>
      </c>
      <c r="B159" s="18" t="s">
        <v>127</v>
      </c>
      <c r="C159" s="22"/>
      <c r="D159" s="22" t="s">
        <v>57</v>
      </c>
      <c r="E159" s="23">
        <v>1</v>
      </c>
      <c r="F159" s="23">
        <v>1</v>
      </c>
      <c r="G159" s="23">
        <v>2</v>
      </c>
      <c r="H159" s="23">
        <v>4</v>
      </c>
      <c r="I159" s="23">
        <v>4</v>
      </c>
      <c r="J159" s="23">
        <v>3</v>
      </c>
      <c r="K159" s="23">
        <v>4</v>
      </c>
      <c r="L159" s="23">
        <v>4</v>
      </c>
      <c r="M159" s="23"/>
      <c r="N159" s="22"/>
      <c r="O159" s="24"/>
    </row>
    <row r="160" spans="1:15" ht="15" thickBot="1" x14ac:dyDescent="0.4">
      <c r="A160" s="17">
        <v>45527</v>
      </c>
      <c r="B160" s="18" t="s">
        <v>127</v>
      </c>
      <c r="C160" s="26"/>
      <c r="D160" s="26" t="s">
        <v>58</v>
      </c>
      <c r="E160" s="27">
        <f>IF((E158/E159*5)=0,1,IF((E158/E159*5)&lt;=1,1,IF((E158/E159*5)&gt;=3,3,IF((E158/E159*5)=5,3,E158/E159*5))))</f>
        <v>1</v>
      </c>
      <c r="F160" s="27">
        <f>IF((F158/F159*5)=0,1,IF((F158/F159*5)&lt;=1,1,IF((F158/F159*5)&gt;=3,3,IF((F158/F159*5)=5,3,F158/F159*5))))</f>
        <v>1</v>
      </c>
      <c r="G160" s="27">
        <f>IF((G158/G159*5)=0,1,IF((G158/G159*5)&lt;=1,1,IF((G158/G159*5)&gt;=3,3,IF((G158/G159*5)=5,3,G158/G159*5))))</f>
        <v>1</v>
      </c>
      <c r="H160" s="27">
        <f>IF((H158/H159*5)=0,1,IF((H158/H159*5)&lt;=1,1,IF((H158/H159*5)&gt;=3,3,IF((H158/H159*5)=5,3,H158/H159*5))))</f>
        <v>1</v>
      </c>
      <c r="I160" s="27">
        <f>IF((I158/I159*5)=0,1,IF((I158/I159*5)&lt;=1,1,IF((I158/I159*5)&gt;=3,3,IF((I158/I159*5)=5,3,I158/I159*5))))</f>
        <v>1</v>
      </c>
      <c r="J160" s="27">
        <f t="shared" ref="J160:L160" si="61">IF((J158/J159*5)=0,1,IF((J158/J159*5)&lt;=1,1,IF((J158/J159*5)&gt;=3,3,IF((J158/J159*5)=5,3,J158/J159*5))))</f>
        <v>1</v>
      </c>
      <c r="K160" s="27">
        <f t="shared" si="61"/>
        <v>1</v>
      </c>
      <c r="L160" s="27">
        <f t="shared" si="61"/>
        <v>1</v>
      </c>
      <c r="M160" s="27"/>
      <c r="N160" s="27">
        <f>AVERAGE(J160:L160)</f>
        <v>1</v>
      </c>
      <c r="O160" s="34" t="s">
        <v>128</v>
      </c>
    </row>
    <row r="161" spans="1:15" ht="15" thickBot="1" x14ac:dyDescent="0.4"/>
    <row r="162" spans="1:15" ht="15" thickBot="1" x14ac:dyDescent="0.4">
      <c r="A162" s="17">
        <v>45527</v>
      </c>
      <c r="B162" s="18" t="s">
        <v>129</v>
      </c>
      <c r="C162" s="18"/>
      <c r="D162" s="30" t="s">
        <v>62</v>
      </c>
      <c r="E162" s="19">
        <v>0</v>
      </c>
      <c r="F162" s="19">
        <f>0+0</f>
        <v>0</v>
      </c>
      <c r="G162" s="19">
        <f>1+0</f>
        <v>1</v>
      </c>
      <c r="H162" s="19">
        <f>0+0.5+0.8+0.5</f>
        <v>1.8</v>
      </c>
      <c r="I162" s="19">
        <f>0.3+0.5+0+0</f>
        <v>0.8</v>
      </c>
      <c r="J162" s="19">
        <f>0.2+0.7+0.2</f>
        <v>1.0999999999999999</v>
      </c>
      <c r="K162" s="19">
        <f>0+0+0.7+0</f>
        <v>0.7</v>
      </c>
      <c r="L162" s="19">
        <f>0.7+0+0+0.2</f>
        <v>0.89999999999999991</v>
      </c>
      <c r="M162" s="19"/>
      <c r="N162" s="18"/>
      <c r="O162" s="20"/>
    </row>
    <row r="163" spans="1:15" ht="15" thickBot="1" x14ac:dyDescent="0.4">
      <c r="A163" s="17">
        <v>45527</v>
      </c>
      <c r="B163" s="18" t="s">
        <v>129</v>
      </c>
      <c r="C163" s="22"/>
      <c r="D163" s="22" t="s">
        <v>57</v>
      </c>
      <c r="E163" s="23">
        <v>1</v>
      </c>
      <c r="F163" s="23">
        <v>1</v>
      </c>
      <c r="G163" s="23">
        <v>2</v>
      </c>
      <c r="H163" s="23">
        <v>4</v>
      </c>
      <c r="I163" s="23">
        <v>4</v>
      </c>
      <c r="J163" s="23">
        <v>3</v>
      </c>
      <c r="K163" s="23">
        <v>4</v>
      </c>
      <c r="L163" s="23">
        <v>4</v>
      </c>
      <c r="M163" s="23"/>
      <c r="N163" s="22"/>
      <c r="O163" s="24"/>
    </row>
    <row r="164" spans="1:15" ht="15" thickBot="1" x14ac:dyDescent="0.4">
      <c r="A164" s="17">
        <v>45527</v>
      </c>
      <c r="B164" s="18" t="s">
        <v>129</v>
      </c>
      <c r="C164" s="26"/>
      <c r="D164" s="26" t="s">
        <v>58</v>
      </c>
      <c r="E164" s="27">
        <f>IF((E162/E163*5)=0,1,IF((E162/E163*5)&lt;=1,1,IF((E162/E163*5)&gt;=3,3,IF((E162/E163*5)=5,3,E162/E163*5))))</f>
        <v>1</v>
      </c>
      <c r="F164" s="27">
        <f>IF((F162/F163*5)=0,1,IF((F162/F163*5)&lt;=1,1,IF((F162/F163*5)&gt;=3,3,IF((F162/F163*5)=5,3,F162/F163*5))))</f>
        <v>1</v>
      </c>
      <c r="G164" s="27">
        <f>IF((G162/G163*5)=0,1,IF((G162/G163*5)&lt;=1,1,IF((G162/G163*5)&gt;=3,3,IF((G162/G163*5)=5,3,G162/G163*5))))</f>
        <v>2.5</v>
      </c>
      <c r="H164" s="27">
        <f>IF((H162/H163*5)=0,1,IF((H162/H163*5)&lt;=1,1,IF((H162/H163*5)&gt;=3,3,IF((H162/H163*5)=5,3,H162/H163*5))))</f>
        <v>2.25</v>
      </c>
      <c r="I164" s="27">
        <f>IF((I162/I163*5)=0,1,IF((I162/I163*5)&lt;=1,1,IF((I162/I163*5)&gt;=3,3,IF((I162/I163*5)=5,3,I162/I163*5))))</f>
        <v>1</v>
      </c>
      <c r="J164" s="27">
        <f t="shared" ref="J164:L164" si="62">IF((J162/J163*5)=0,1,IF((J162/J163*5)&lt;=1,1,IF((J162/J163*5)&gt;=3,3,IF((J162/J163*5)=5,3,J162/J163*5))))</f>
        <v>1.8333333333333333</v>
      </c>
      <c r="K164" s="27">
        <f t="shared" si="62"/>
        <v>1</v>
      </c>
      <c r="L164" s="27">
        <f t="shared" si="62"/>
        <v>1.125</v>
      </c>
      <c r="M164" s="27"/>
      <c r="N164" s="27">
        <f>AVERAGE(J164:L164)</f>
        <v>1.3194444444444444</v>
      </c>
      <c r="O164" s="34" t="s">
        <v>126</v>
      </c>
    </row>
    <row r="165" spans="1:15" ht="15" thickBot="1" x14ac:dyDescent="0.4"/>
    <row r="166" spans="1:15" ht="15" thickBot="1" x14ac:dyDescent="0.4">
      <c r="A166" s="17">
        <v>45527</v>
      </c>
      <c r="B166" s="18" t="s">
        <v>130</v>
      </c>
      <c r="C166" s="18"/>
      <c r="D166" s="30" t="s">
        <v>62</v>
      </c>
      <c r="E166" s="19">
        <v>0</v>
      </c>
      <c r="F166" s="19">
        <f>0+0</f>
        <v>0</v>
      </c>
      <c r="G166" s="19">
        <f>1+0</f>
        <v>1</v>
      </c>
      <c r="H166" s="19">
        <f>0+0.5+0.7+0.8</f>
        <v>2</v>
      </c>
      <c r="I166" s="19">
        <f>0.5+0.6+0+0</f>
        <v>1.1000000000000001</v>
      </c>
      <c r="J166" s="19">
        <f>0.2+0.7+0.2</f>
        <v>1.0999999999999999</v>
      </c>
      <c r="K166" s="19">
        <f>0.6+0.6+0.5+0.4</f>
        <v>2.1</v>
      </c>
      <c r="L166" s="19">
        <f>0.6+0.2+0.5+0.6</f>
        <v>1.9</v>
      </c>
      <c r="M166" s="19"/>
      <c r="N166" s="18"/>
      <c r="O166" s="20"/>
    </row>
    <row r="167" spans="1:15" ht="15" thickBot="1" x14ac:dyDescent="0.4">
      <c r="A167" s="17">
        <v>45527</v>
      </c>
      <c r="B167" s="18" t="s">
        <v>130</v>
      </c>
      <c r="C167" s="22"/>
      <c r="D167" s="22" t="s">
        <v>57</v>
      </c>
      <c r="E167" s="23">
        <v>1</v>
      </c>
      <c r="F167" s="23">
        <v>1</v>
      </c>
      <c r="G167" s="23">
        <v>2</v>
      </c>
      <c r="H167" s="23">
        <v>4</v>
      </c>
      <c r="I167" s="23">
        <v>4</v>
      </c>
      <c r="J167" s="23">
        <v>3</v>
      </c>
      <c r="K167" s="23">
        <v>4</v>
      </c>
      <c r="L167" s="23">
        <v>4</v>
      </c>
      <c r="M167" s="23"/>
      <c r="N167" s="22"/>
      <c r="O167" s="24"/>
    </row>
    <row r="168" spans="1:15" ht="15" thickBot="1" x14ac:dyDescent="0.4">
      <c r="A168" s="17">
        <v>45527</v>
      </c>
      <c r="B168" s="18" t="s">
        <v>130</v>
      </c>
      <c r="C168" s="26"/>
      <c r="D168" s="26" t="s">
        <v>58</v>
      </c>
      <c r="E168" s="27">
        <f>IF((E166/E167*5)=0,1,IF((E166/E167*5)&lt;=1,1,IF((E166/E167*5)&gt;=3,3,IF((E166/E167*5)=5,3,E166/E167*5))))</f>
        <v>1</v>
      </c>
      <c r="F168" s="27">
        <f>IF((F166/F167*5)=0,1,IF((F166/F167*5)&lt;=1,1,IF((F166/F167*5)&gt;=3,3,IF((F166/F167*5)=5,3,F166/F167*5))))</f>
        <v>1</v>
      </c>
      <c r="G168" s="27">
        <f>IF((G166/G167*5)=0,1,IF((G166/G167*5)&lt;=1,1,IF((G166/G167*5)&gt;=3,3,IF((G166/G167*5)=5,3,G166/G167*5))))</f>
        <v>2.5</v>
      </c>
      <c r="H168" s="27">
        <f>IF((H166/H167*5)=0,1,IF((H166/H167*5)&lt;=1,1,IF((H166/H167*5)&gt;=3,3,IF((H166/H167*5)=5,3,H166/H167*5))))</f>
        <v>2.5</v>
      </c>
      <c r="I168" s="27">
        <f>IF((I166/I167*5)=0,1,IF((I166/I167*5)&lt;=1,1,IF((I166/I167*5)&gt;=3,3,IF((I166/I167*5)=5,3,I166/I167*5))))</f>
        <v>1.375</v>
      </c>
      <c r="J168" s="27">
        <f t="shared" ref="J168:L168" si="63">IF((J166/J167*5)=0,1,IF((J166/J167*5)&lt;=1,1,IF((J166/J167*5)&gt;=3,3,IF((J166/J167*5)=5,3,J166/J167*5))))</f>
        <v>1.8333333333333333</v>
      </c>
      <c r="K168" s="27">
        <f t="shared" si="63"/>
        <v>2.625</v>
      </c>
      <c r="L168" s="27">
        <f t="shared" si="63"/>
        <v>2.375</v>
      </c>
      <c r="M168" s="27"/>
      <c r="N168" s="27">
        <f>AVERAGE(J168:L168)</f>
        <v>2.2777777777777777</v>
      </c>
      <c r="O168" s="34" t="s">
        <v>126</v>
      </c>
    </row>
    <row r="169" spans="1:15" ht="15" thickBot="1" x14ac:dyDescent="0.4"/>
    <row r="170" spans="1:15" ht="15" thickBot="1" x14ac:dyDescent="0.4">
      <c r="A170" s="17">
        <v>45528</v>
      </c>
      <c r="B170" s="18" t="s">
        <v>131</v>
      </c>
      <c r="C170" s="18" t="s">
        <v>119</v>
      </c>
      <c r="D170" s="30" t="s">
        <v>62</v>
      </c>
      <c r="E170" s="19">
        <v>0</v>
      </c>
      <c r="F170" s="19">
        <f>0+0</f>
        <v>0</v>
      </c>
      <c r="G170" s="19">
        <f>1+1</f>
        <v>2</v>
      </c>
      <c r="H170" s="19">
        <f>0+0.3+0.6+0</f>
        <v>0.89999999999999991</v>
      </c>
      <c r="I170" s="19">
        <f>0.4+0.6+0+0.3</f>
        <v>1.3</v>
      </c>
      <c r="J170" s="19">
        <f>0.8+0.8</f>
        <v>1.6</v>
      </c>
      <c r="K170" s="19">
        <f>0.3+0.7+0.6+0.5</f>
        <v>2.1</v>
      </c>
      <c r="L170" s="19">
        <f>0.2+0.5+0.6+0.7</f>
        <v>1.9999999999999998</v>
      </c>
      <c r="M170" s="19"/>
      <c r="N170" s="18"/>
      <c r="O170" s="20"/>
    </row>
    <row r="171" spans="1:15" ht="15" thickBot="1" x14ac:dyDescent="0.4">
      <c r="A171" s="17">
        <v>45528</v>
      </c>
      <c r="B171" s="18" t="s">
        <v>131</v>
      </c>
      <c r="C171" s="22"/>
      <c r="D171" s="22" t="s">
        <v>57</v>
      </c>
      <c r="E171" s="23">
        <v>1</v>
      </c>
      <c r="F171" s="23">
        <v>1</v>
      </c>
      <c r="G171" s="23">
        <v>2</v>
      </c>
      <c r="H171" s="23">
        <v>4</v>
      </c>
      <c r="I171" s="23">
        <v>4</v>
      </c>
      <c r="J171" s="23">
        <v>2</v>
      </c>
      <c r="K171" s="23">
        <v>4</v>
      </c>
      <c r="L171" s="23">
        <v>4</v>
      </c>
      <c r="M171" s="23"/>
      <c r="N171" s="22"/>
      <c r="O171" s="24"/>
    </row>
    <row r="172" spans="1:15" ht="15" thickBot="1" x14ac:dyDescent="0.4">
      <c r="A172" s="17">
        <v>45528</v>
      </c>
      <c r="B172" s="18" t="s">
        <v>131</v>
      </c>
      <c r="C172" s="26"/>
      <c r="D172" s="26" t="s">
        <v>58</v>
      </c>
      <c r="E172" s="27">
        <f>IF((E170/E171*5)=0,1,IF((E170/E171*5)&lt;=1,1,IF((E170/E171*5)&gt;=3,3,IF((E170/E171*5)=5,3,E170/E171*5))))</f>
        <v>1</v>
      </c>
      <c r="F172" s="27">
        <f>IF((F170/F171*5)=0,1,IF((F170/F171*5)&lt;=1,1,IF((F170/F171*5)&gt;=3,3,IF((F170/F171*5)=5,3,F170/F171*5))))</f>
        <v>1</v>
      </c>
      <c r="G172" s="27">
        <f>IF((G170/G171*5)=0,1,IF((G170/G171*5)&lt;=1,1,IF((G170/G171*5)&gt;=3,3,IF((G170/G171*5)=5,3,G170/G171*5))))</f>
        <v>3</v>
      </c>
      <c r="H172" s="27">
        <f>IF((H170/H171*5)=0,1,IF((H170/H171*5)&lt;=1,1,IF((H170/H171*5)&gt;=3,3,IF((H170/H171*5)=5,3,H170/H171*5))))</f>
        <v>1.125</v>
      </c>
      <c r="I172" s="27">
        <f>IF((I170/I171*5)=0,1,IF((I170/I171*5)&lt;=1,1,IF((I170/I171*5)&gt;=3,3,IF((I170/I171*5)=5,3,I170/I171*5))))</f>
        <v>1.625</v>
      </c>
      <c r="J172" s="27">
        <f t="shared" ref="J172:L172" si="64">IF((J170/J171*5)=0,1,IF((J170/J171*5)&lt;=1,1,IF((J170/J171*5)&gt;=3,3,IF((J170/J171*5)=5,3,J170/J171*5))))</f>
        <v>3</v>
      </c>
      <c r="K172" s="27">
        <f t="shared" si="64"/>
        <v>2.625</v>
      </c>
      <c r="L172" s="27">
        <f t="shared" si="64"/>
        <v>2.4999999999999996</v>
      </c>
      <c r="M172" s="27"/>
      <c r="N172" s="27">
        <f>AVERAGE(J172:L172)</f>
        <v>2.7083333333333335</v>
      </c>
      <c r="O172" s="34" t="s">
        <v>132</v>
      </c>
    </row>
    <row r="173" spans="1:15" ht="15" thickBot="1" x14ac:dyDescent="0.4"/>
    <row r="174" spans="1:15" ht="15" thickBot="1" x14ac:dyDescent="0.4">
      <c r="A174" s="17">
        <v>45532</v>
      </c>
      <c r="B174" s="18" t="s">
        <v>139</v>
      </c>
      <c r="C174" s="18"/>
      <c r="D174" s="30" t="s">
        <v>62</v>
      </c>
      <c r="E174" s="19">
        <v>0</v>
      </c>
      <c r="F174" s="19">
        <f>0+0</f>
        <v>0</v>
      </c>
      <c r="G174" s="19">
        <f>0+0</f>
        <v>0</v>
      </c>
      <c r="H174" s="19">
        <f>0+0+0+0</f>
        <v>0</v>
      </c>
      <c r="I174" s="19">
        <f>0.2+0.2+0+0.3</f>
        <v>0.7</v>
      </c>
      <c r="J174" s="19">
        <f>0.2+0</f>
        <v>0.2</v>
      </c>
      <c r="K174" s="19">
        <f>0.2+0+0+0</f>
        <v>0.2</v>
      </c>
      <c r="L174" s="19">
        <f>0.2+0.2+0.2+0</f>
        <v>0.60000000000000009</v>
      </c>
      <c r="M174" s="19"/>
      <c r="N174" s="18"/>
      <c r="O174" s="20"/>
    </row>
    <row r="175" spans="1:15" ht="15" thickBot="1" x14ac:dyDescent="0.4">
      <c r="A175" s="17">
        <v>45532</v>
      </c>
      <c r="B175" s="18" t="s">
        <v>139</v>
      </c>
      <c r="C175" s="22"/>
      <c r="D175" s="22" t="s">
        <v>57</v>
      </c>
      <c r="E175" s="23">
        <v>1</v>
      </c>
      <c r="F175" s="23">
        <v>1</v>
      </c>
      <c r="G175" s="23">
        <v>2</v>
      </c>
      <c r="H175" s="23">
        <v>4</v>
      </c>
      <c r="I175" s="23">
        <v>4</v>
      </c>
      <c r="J175" s="23">
        <v>2</v>
      </c>
      <c r="K175" s="23">
        <v>4</v>
      </c>
      <c r="L175" s="23">
        <v>4</v>
      </c>
      <c r="M175" s="23"/>
      <c r="N175" s="22"/>
      <c r="O175" s="24"/>
    </row>
    <row r="176" spans="1:15" ht="15" thickBot="1" x14ac:dyDescent="0.4">
      <c r="A176" s="17">
        <v>45532</v>
      </c>
      <c r="B176" s="18" t="s">
        <v>139</v>
      </c>
      <c r="C176" s="26"/>
      <c r="D176" s="26" t="s">
        <v>58</v>
      </c>
      <c r="E176" s="27">
        <f>IF((E174/E175*5)=0,1,IF((E174/E175*5)&lt;=1,1,IF((E174/E175*5)&gt;=3,3,IF((E174/E175*5)=5,3,E174/E175*5))))</f>
        <v>1</v>
      </c>
      <c r="F176" s="27">
        <f>IF((F174/F175*5)=0,1,IF((F174/F175*5)&lt;=1,1,IF((F174/F175*5)&gt;=3,3,IF((F174/F175*5)=5,3,F174/F175*5))))</f>
        <v>1</v>
      </c>
      <c r="G176" s="27">
        <f>IF((G174/G175*5)=0,1,IF((G174/G175*5)&lt;=1,1,IF((G174/G175*5)&gt;=3,3,IF((G174/G175*5)=5,3,G174/G175*5))))</f>
        <v>1</v>
      </c>
      <c r="H176" s="27">
        <f>IF((H174/H175*5)=0,1,IF((H174/H175*5)&lt;=1,1,IF((H174/H175*5)&gt;=3,3,IF((H174/H175*5)=5,3,H174/H175*5))))</f>
        <v>1</v>
      </c>
      <c r="I176" s="27">
        <f>IF((I174/I175*5)=0,1,IF((I174/I175*5)&lt;=1,1,IF((I174/I175*5)&gt;=3,3,IF((I174/I175*5)=5,3,I174/I175*5))))</f>
        <v>1</v>
      </c>
      <c r="J176" s="27">
        <f t="shared" ref="J176:L176" si="65">IF((J174/J175*5)=0,1,IF((J174/J175*5)&lt;=1,1,IF((J174/J175*5)&gt;=3,3,IF((J174/J175*5)=5,3,J174/J175*5))))</f>
        <v>1</v>
      </c>
      <c r="K176" s="27">
        <f t="shared" si="65"/>
        <v>1</v>
      </c>
      <c r="L176" s="27">
        <f t="shared" si="65"/>
        <v>1</v>
      </c>
      <c r="M176" s="27"/>
      <c r="N176" s="27">
        <f>AVERAGE(J176:L176)</f>
        <v>1</v>
      </c>
      <c r="O176" s="34" t="s">
        <v>114</v>
      </c>
    </row>
    <row r="177" spans="1:15" ht="15" thickBot="1" x14ac:dyDescent="0.4"/>
    <row r="178" spans="1:15" ht="15" thickBot="1" x14ac:dyDescent="0.4">
      <c r="A178" s="17">
        <v>45532</v>
      </c>
      <c r="B178" s="18" t="s">
        <v>138</v>
      </c>
      <c r="C178" s="18"/>
      <c r="D178" s="30" t="s">
        <v>62</v>
      </c>
      <c r="E178" s="19">
        <v>0</v>
      </c>
      <c r="F178" s="19">
        <f>0+0</f>
        <v>0</v>
      </c>
      <c r="G178" s="19">
        <f>1+0</f>
        <v>1</v>
      </c>
      <c r="H178" s="19">
        <f>0.6+0.2+0.3+0</f>
        <v>1.1000000000000001</v>
      </c>
      <c r="I178" s="19">
        <f>0.3+0.5+0.4+0</f>
        <v>1.2000000000000002</v>
      </c>
      <c r="J178" s="19">
        <f>0+0.4+0.2</f>
        <v>0.60000000000000009</v>
      </c>
      <c r="K178" s="19">
        <f>0.5+0.2+0+0.2</f>
        <v>0.89999999999999991</v>
      </c>
      <c r="L178" s="19">
        <f>0.3+0+0+0.4</f>
        <v>0.7</v>
      </c>
      <c r="M178" s="19"/>
      <c r="N178" s="18"/>
      <c r="O178" s="20"/>
    </row>
    <row r="179" spans="1:15" ht="15" thickBot="1" x14ac:dyDescent="0.4">
      <c r="A179" s="17">
        <v>45532</v>
      </c>
      <c r="B179" s="18" t="s">
        <v>138</v>
      </c>
      <c r="C179" s="22"/>
      <c r="D179" s="22" t="s">
        <v>57</v>
      </c>
      <c r="E179" s="23">
        <v>1</v>
      </c>
      <c r="F179" s="23">
        <v>1</v>
      </c>
      <c r="G179" s="23">
        <v>2</v>
      </c>
      <c r="H179" s="23">
        <v>4</v>
      </c>
      <c r="I179" s="23">
        <v>4</v>
      </c>
      <c r="J179" s="23">
        <v>3</v>
      </c>
      <c r="K179" s="23">
        <v>4</v>
      </c>
      <c r="L179" s="23">
        <v>4</v>
      </c>
      <c r="M179" s="23"/>
      <c r="N179" s="22"/>
      <c r="O179" s="24"/>
    </row>
    <row r="180" spans="1:15" ht="15" thickBot="1" x14ac:dyDescent="0.4">
      <c r="A180" s="17">
        <v>45532</v>
      </c>
      <c r="B180" s="18" t="s">
        <v>138</v>
      </c>
      <c r="C180" s="26"/>
      <c r="D180" s="26" t="s">
        <v>58</v>
      </c>
      <c r="E180" s="27">
        <f>IF((E178/E179*5)=0,1,IF((E178/E179*5)&lt;=1,1,IF((E178/E179*5)&gt;=3,3,IF((E178/E179*5)=5,3,E178/E179*5))))</f>
        <v>1</v>
      </c>
      <c r="F180" s="27">
        <f>IF((F178/F179*5)=0,1,IF((F178/F179*5)&lt;=1,1,IF((F178/F179*5)&gt;=3,3,IF((F178/F179*5)=5,3,F178/F179*5))))</f>
        <v>1</v>
      </c>
      <c r="G180" s="27">
        <f>IF((G178/G179*5)=0,1,IF((G178/G179*5)&lt;=1,1,IF((G178/G179*5)&gt;=3,3,IF((G178/G179*5)=5,3,G178/G179*5))))</f>
        <v>2.5</v>
      </c>
      <c r="H180" s="27">
        <f>IF((H178/H179*5)=0,1,IF((H178/H179*5)&lt;=1,1,IF((H178/H179*5)&gt;=3,3,IF((H178/H179*5)=5,3,H178/H179*5))))</f>
        <v>1.375</v>
      </c>
      <c r="I180" s="27">
        <f>IF((I178/I179*5)=0,1,IF((I178/I179*5)&lt;=1,1,IF((I178/I179*5)&gt;=3,3,IF((I178/I179*5)=5,3,I178/I179*5))))</f>
        <v>1.5000000000000002</v>
      </c>
      <c r="J180" s="27">
        <f t="shared" ref="J180:L180" si="66">IF((J178/J179*5)=0,1,IF((J178/J179*5)&lt;=1,1,IF((J178/J179*5)&gt;=3,3,IF((J178/J179*5)=5,3,J178/J179*5))))</f>
        <v>1</v>
      </c>
      <c r="K180" s="27">
        <f t="shared" si="66"/>
        <v>1.125</v>
      </c>
      <c r="L180" s="27">
        <f t="shared" si="66"/>
        <v>1</v>
      </c>
      <c r="M180" s="27"/>
      <c r="N180" s="27">
        <f>AVERAGE(J180:L180)</f>
        <v>1.0416666666666667</v>
      </c>
      <c r="O180" s="34" t="s">
        <v>114</v>
      </c>
    </row>
    <row r="181" spans="1:15" ht="15" thickBot="1" x14ac:dyDescent="0.4"/>
    <row r="182" spans="1:15" ht="15" thickBot="1" x14ac:dyDescent="0.4">
      <c r="A182" s="17">
        <v>45533</v>
      </c>
      <c r="B182" s="18" t="s">
        <v>143</v>
      </c>
      <c r="C182" s="18"/>
      <c r="D182" s="30" t="s">
        <v>62</v>
      </c>
      <c r="E182" s="19">
        <v>0</v>
      </c>
      <c r="F182" s="19">
        <f>0+0</f>
        <v>0</v>
      </c>
      <c r="G182" s="19">
        <f>0+0</f>
        <v>0</v>
      </c>
      <c r="H182" s="19">
        <f>0+0.5+0.7+0</f>
        <v>1.2</v>
      </c>
      <c r="I182" s="19">
        <f>0+0+0+0</f>
        <v>0</v>
      </c>
      <c r="J182" s="19">
        <f>0+0.7+0.2</f>
        <v>0.89999999999999991</v>
      </c>
      <c r="K182" s="19">
        <f>0+0+0+0.4</f>
        <v>0.4</v>
      </c>
      <c r="L182" s="19">
        <f>0.3+0+0+0</f>
        <v>0.3</v>
      </c>
      <c r="M182" s="19"/>
      <c r="N182" s="18"/>
      <c r="O182" s="20"/>
    </row>
    <row r="183" spans="1:15" ht="15" thickBot="1" x14ac:dyDescent="0.4">
      <c r="A183" s="17">
        <v>45533</v>
      </c>
      <c r="B183" s="18" t="s">
        <v>143</v>
      </c>
      <c r="C183" s="22"/>
      <c r="D183" s="22" t="s">
        <v>57</v>
      </c>
      <c r="E183" s="23">
        <v>1</v>
      </c>
      <c r="F183" s="23">
        <v>1</v>
      </c>
      <c r="G183" s="23">
        <v>2</v>
      </c>
      <c r="H183" s="23">
        <v>4</v>
      </c>
      <c r="I183" s="23">
        <v>4</v>
      </c>
      <c r="J183" s="23">
        <v>3</v>
      </c>
      <c r="K183" s="23">
        <v>4</v>
      </c>
      <c r="L183" s="23">
        <v>4</v>
      </c>
      <c r="M183" s="23"/>
      <c r="N183" s="22"/>
      <c r="O183" s="24"/>
    </row>
    <row r="184" spans="1:15" ht="15" thickBot="1" x14ac:dyDescent="0.4">
      <c r="A184" s="17">
        <v>45533</v>
      </c>
      <c r="B184" s="18" t="s">
        <v>143</v>
      </c>
      <c r="C184" s="26"/>
      <c r="D184" s="26" t="s">
        <v>58</v>
      </c>
      <c r="E184" s="27">
        <f>IF((E182/E183*5)=0,1,IF((E182/E183*5)&lt;=1,1,IF((E182/E183*5)&gt;=3,3,IF((E182/E183*5)=5,3,E182/E183*5))))</f>
        <v>1</v>
      </c>
      <c r="F184" s="27">
        <f>IF((F182/F183*5)=0,1,IF((F182/F183*5)&lt;=1,1,IF((F182/F183*5)&gt;=3,3,IF((F182/F183*5)=5,3,F182/F183*5))))</f>
        <v>1</v>
      </c>
      <c r="G184" s="27">
        <f>IF((G182/G183*5)=0,1,IF((G182/G183*5)&lt;=1,1,IF((G182/G183*5)&gt;=3,3,IF((G182/G183*5)=5,3,G182/G183*5))))</f>
        <v>1</v>
      </c>
      <c r="H184" s="27">
        <f>IF((H182/H183*5)=0,1,IF((H182/H183*5)&lt;=1,1,IF((H182/H183*5)&gt;=3,3,IF((H182/H183*5)=5,3,H182/H183*5))))</f>
        <v>1.5</v>
      </c>
      <c r="I184" s="27">
        <f>IF((I182/I183*5)=0,1,IF((I182/I183*5)&lt;=1,1,IF((I182/I183*5)&gt;=3,3,IF((I182/I183*5)=5,3,I182/I183*5))))</f>
        <v>1</v>
      </c>
      <c r="J184" s="27">
        <f t="shared" ref="J184:L184" si="67">IF((J182/J183*5)=0,1,IF((J182/J183*5)&lt;=1,1,IF((J182/J183*5)&gt;=3,3,IF((J182/J183*5)=5,3,J182/J183*5))))</f>
        <v>1.5</v>
      </c>
      <c r="K184" s="27">
        <f t="shared" si="67"/>
        <v>1</v>
      </c>
      <c r="L184" s="27">
        <f t="shared" si="67"/>
        <v>1</v>
      </c>
      <c r="M184" s="27"/>
      <c r="N184" s="27">
        <f>AVERAGE(J184:L184)</f>
        <v>1.1666666666666667</v>
      </c>
    </row>
    <row r="185" spans="1:15" ht="15" thickBot="1" x14ac:dyDescent="0.4"/>
    <row r="186" spans="1:15" ht="15" thickBot="1" x14ac:dyDescent="0.4">
      <c r="A186" s="17">
        <v>45533</v>
      </c>
      <c r="B186" s="18" t="s">
        <v>140</v>
      </c>
      <c r="C186" s="18"/>
      <c r="D186" s="30" t="s">
        <v>62</v>
      </c>
      <c r="E186" s="19">
        <v>0</v>
      </c>
      <c r="F186" s="19">
        <f>0+0</f>
        <v>0</v>
      </c>
      <c r="G186" s="19">
        <f>1+0</f>
        <v>1</v>
      </c>
      <c r="H186" s="19">
        <f>0.3+0.2+0.3+0</f>
        <v>0.8</v>
      </c>
      <c r="I186" s="19">
        <f>0.3+0+0+0</f>
        <v>0.3</v>
      </c>
      <c r="J186" s="19">
        <f>0.6+0+0.2</f>
        <v>0.8</v>
      </c>
      <c r="K186" s="19">
        <f>0+0.2+0.6+0</f>
        <v>0.8</v>
      </c>
      <c r="L186" s="19">
        <f>0.3+0+0+0.4</f>
        <v>0.7</v>
      </c>
      <c r="M186" s="19"/>
      <c r="N186" s="18"/>
      <c r="O186" s="20"/>
    </row>
    <row r="187" spans="1:15" ht="15" thickBot="1" x14ac:dyDescent="0.4">
      <c r="A187" s="17">
        <v>45533</v>
      </c>
      <c r="B187" s="18" t="s">
        <v>140</v>
      </c>
      <c r="C187" s="22"/>
      <c r="D187" s="22" t="s">
        <v>57</v>
      </c>
      <c r="E187" s="23">
        <v>1</v>
      </c>
      <c r="F187" s="23">
        <v>1</v>
      </c>
      <c r="G187" s="23">
        <v>2</v>
      </c>
      <c r="H187" s="23">
        <v>4</v>
      </c>
      <c r="I187" s="23">
        <v>4</v>
      </c>
      <c r="J187" s="23">
        <v>3</v>
      </c>
      <c r="K187" s="23">
        <v>4</v>
      </c>
      <c r="L187" s="23">
        <v>4</v>
      </c>
      <c r="M187" s="23"/>
      <c r="N187" s="22"/>
      <c r="O187" s="24"/>
    </row>
    <row r="188" spans="1:15" ht="15" thickBot="1" x14ac:dyDescent="0.4">
      <c r="A188" s="17">
        <v>45533</v>
      </c>
      <c r="B188" s="18" t="s">
        <v>140</v>
      </c>
      <c r="C188" s="26"/>
      <c r="D188" s="26" t="s">
        <v>58</v>
      </c>
      <c r="E188" s="27">
        <f>IF((E186/E187*5)=0,1,IF((E186/E187*5)&lt;=1,1,IF((E186/E187*5)&gt;=3,3,IF((E186/E187*5)=5,3,E186/E187*5))))</f>
        <v>1</v>
      </c>
      <c r="F188" s="27">
        <f>IF((F186/F187*5)=0,1,IF((F186/F187*5)&lt;=1,1,IF((F186/F187*5)&gt;=3,3,IF((F186/F187*5)=5,3,F186/F187*5))))</f>
        <v>1</v>
      </c>
      <c r="G188" s="27">
        <f>IF((G186/G187*5)=0,1,IF((G186/G187*5)&lt;=1,1,IF((G186/G187*5)&gt;=3,3,IF((G186/G187*5)=5,3,G186/G187*5))))</f>
        <v>2.5</v>
      </c>
      <c r="H188" s="27">
        <f>IF((H186/H187*5)=0,1,IF((H186/H187*5)&lt;=1,1,IF((H186/H187*5)&gt;=3,3,IF((H186/H187*5)=5,3,H186/H187*5))))</f>
        <v>1</v>
      </c>
      <c r="I188" s="27">
        <f>IF((I186/I187*5)=0,1,IF((I186/I187*5)&lt;=1,1,IF((I186/I187*5)&gt;=3,3,IF((I186/I187*5)=5,3,I186/I187*5))))</f>
        <v>1</v>
      </c>
      <c r="J188" s="27">
        <f t="shared" ref="J188:L188" si="68">IF((J186/J187*5)=0,1,IF((J186/J187*5)&lt;=1,1,IF((J186/J187*5)&gt;=3,3,IF((J186/J187*5)=5,3,J186/J187*5))))</f>
        <v>1.3333333333333333</v>
      </c>
      <c r="K188" s="27">
        <f t="shared" si="68"/>
        <v>1</v>
      </c>
      <c r="L188" s="27">
        <f t="shared" si="68"/>
        <v>1</v>
      </c>
      <c r="M188" s="27"/>
      <c r="N188" s="27">
        <f>AVERAGE(J188:L188)</f>
        <v>1.1111111111111109</v>
      </c>
      <c r="O188" s="34" t="s">
        <v>141</v>
      </c>
    </row>
    <row r="189" spans="1:15" ht="15" thickBot="1" x14ac:dyDescent="0.4"/>
    <row r="190" spans="1:15" ht="15" thickBot="1" x14ac:dyDescent="0.4">
      <c r="A190" s="17">
        <v>45534</v>
      </c>
      <c r="B190" s="18" t="s">
        <v>142</v>
      </c>
      <c r="C190" s="18"/>
      <c r="D190" s="30" t="s">
        <v>62</v>
      </c>
      <c r="E190" s="19">
        <v>0</v>
      </c>
      <c r="F190" s="19">
        <f>0</f>
        <v>0</v>
      </c>
      <c r="G190" s="19">
        <f>0+0</f>
        <v>0</v>
      </c>
      <c r="H190" s="19">
        <f>0+0.3+0.2+0</f>
        <v>0.5</v>
      </c>
      <c r="I190" s="19">
        <f>0.3+0+0+0</f>
        <v>0.3</v>
      </c>
      <c r="J190" s="19">
        <f>0+0+0</f>
        <v>0</v>
      </c>
      <c r="K190" s="19">
        <f>0.5+0.3+0.2+0</f>
        <v>1</v>
      </c>
      <c r="L190" s="19">
        <f>0+0+0+0</f>
        <v>0</v>
      </c>
      <c r="M190" s="19"/>
      <c r="N190" s="18"/>
      <c r="O190" s="20"/>
    </row>
    <row r="191" spans="1:15" ht="15" thickBot="1" x14ac:dyDescent="0.4">
      <c r="A191" s="17">
        <v>45534</v>
      </c>
      <c r="B191" s="18" t="s">
        <v>142</v>
      </c>
      <c r="C191" s="22"/>
      <c r="D191" s="22" t="s">
        <v>57</v>
      </c>
      <c r="E191" s="23">
        <v>1</v>
      </c>
      <c r="F191" s="23">
        <v>1</v>
      </c>
      <c r="G191" s="23">
        <v>2</v>
      </c>
      <c r="H191" s="23">
        <v>4</v>
      </c>
      <c r="I191" s="23">
        <v>4</v>
      </c>
      <c r="J191" s="23">
        <v>3</v>
      </c>
      <c r="K191" s="23">
        <v>4</v>
      </c>
      <c r="L191" s="23">
        <v>4</v>
      </c>
      <c r="M191" s="23"/>
      <c r="N191" s="22"/>
      <c r="O191" s="24"/>
    </row>
    <row r="192" spans="1:15" ht="15" thickBot="1" x14ac:dyDescent="0.4">
      <c r="A192" s="17">
        <v>45534</v>
      </c>
      <c r="B192" s="18" t="s">
        <v>142</v>
      </c>
      <c r="C192" s="26"/>
      <c r="D192" s="26" t="s">
        <v>58</v>
      </c>
      <c r="E192" s="27">
        <f>IF((E190/E191*5)=0,1,IF((E190/E191*5)&lt;=1,1,IF((E190/E191*5)&gt;=3,3,IF((E190/E191*5)=5,3,E190/E191*5))))</f>
        <v>1</v>
      </c>
      <c r="F192" s="27">
        <f>IF((F190/F191*5)=0,1,IF((F190/F191*5)&lt;=1,1,IF((F190/F191*5)&gt;=3,3,IF((F190/F191*5)=5,3,F190/F191*5))))</f>
        <v>1</v>
      </c>
      <c r="G192" s="27">
        <f>IF((G190/G191*5)=0,1,IF((G190/G191*5)&lt;=1,1,IF((G190/G191*5)&gt;=3,3,IF((G190/G191*5)=5,3,G190/G191*5))))</f>
        <v>1</v>
      </c>
      <c r="H192" s="27">
        <f>IF((H190/H191*5)=0,1,IF((H190/H191*5)&lt;=1,1,IF((H190/H191*5)&gt;=3,3,IF((H190/H191*5)=5,3,H190/H191*5))))</f>
        <v>1</v>
      </c>
      <c r="I192" s="27">
        <f>IF((I190/I191*5)=0,1,IF((I190/I191*5)&lt;=1,1,IF((I190/I191*5)&gt;=3,3,IF((I190/I191*5)=5,3,I190/I191*5))))</f>
        <v>1</v>
      </c>
      <c r="J192" s="27">
        <f t="shared" ref="J192:L192" si="69">IF((J190/J191*5)=0,1,IF((J190/J191*5)&lt;=1,1,IF((J190/J191*5)&gt;=3,3,IF((J190/J191*5)=5,3,J190/J191*5))))</f>
        <v>1</v>
      </c>
      <c r="K192" s="27">
        <f t="shared" si="69"/>
        <v>1.25</v>
      </c>
      <c r="L192" s="27">
        <f t="shared" si="69"/>
        <v>1</v>
      </c>
      <c r="M192" s="27"/>
      <c r="N192" s="27">
        <f>AVERAGE(J192:L192)</f>
        <v>1.0833333333333333</v>
      </c>
      <c r="O192" s="34" t="s">
        <v>141</v>
      </c>
    </row>
    <row r="193" spans="1:15" ht="15" thickBot="1" x14ac:dyDescent="0.4"/>
    <row r="194" spans="1:15" ht="15" thickBot="1" x14ac:dyDescent="0.4">
      <c r="A194" s="17">
        <v>45538</v>
      </c>
      <c r="B194" s="18" t="s">
        <v>144</v>
      </c>
      <c r="C194" s="18" t="s">
        <v>119</v>
      </c>
      <c r="D194" s="30" t="s">
        <v>62</v>
      </c>
      <c r="E194" s="19">
        <v>0</v>
      </c>
      <c r="F194" s="19">
        <f>0+0</f>
        <v>0</v>
      </c>
      <c r="G194" s="19">
        <f>0+0</f>
        <v>0</v>
      </c>
      <c r="H194" s="19">
        <f>0+0.3+0.3+0</f>
        <v>0.6</v>
      </c>
      <c r="I194" s="19">
        <f>0.2+0.4+0.5+0</f>
        <v>1.1000000000000001</v>
      </c>
      <c r="J194" s="19">
        <f>0+0.2</f>
        <v>0.2</v>
      </c>
      <c r="K194" s="19">
        <f>0.1+0.2+0.4</f>
        <v>0.70000000000000007</v>
      </c>
      <c r="L194" s="19">
        <f>0.2+0.5+0.4</f>
        <v>1.1000000000000001</v>
      </c>
      <c r="M194" s="19"/>
      <c r="N194" s="18"/>
      <c r="O194" s="20"/>
    </row>
    <row r="195" spans="1:15" ht="15" thickBot="1" x14ac:dyDescent="0.4">
      <c r="A195" s="17">
        <v>45538</v>
      </c>
      <c r="B195" s="18" t="s">
        <v>144</v>
      </c>
      <c r="C195" s="22"/>
      <c r="D195" s="22" t="s">
        <v>57</v>
      </c>
      <c r="E195" s="23">
        <v>1</v>
      </c>
      <c r="F195" s="23">
        <v>1</v>
      </c>
      <c r="G195" s="23">
        <v>2</v>
      </c>
      <c r="H195" s="23">
        <v>4</v>
      </c>
      <c r="I195" s="23">
        <v>4</v>
      </c>
      <c r="J195" s="23">
        <v>2</v>
      </c>
      <c r="K195" s="23">
        <v>3</v>
      </c>
      <c r="L195" s="23">
        <v>3</v>
      </c>
      <c r="M195" s="23"/>
      <c r="N195" s="22"/>
      <c r="O195" s="24"/>
    </row>
    <row r="196" spans="1:15" ht="15" thickBot="1" x14ac:dyDescent="0.4">
      <c r="A196" s="17">
        <v>45538</v>
      </c>
      <c r="B196" s="18" t="s">
        <v>144</v>
      </c>
      <c r="C196" s="26"/>
      <c r="D196" s="26" t="s">
        <v>58</v>
      </c>
      <c r="E196" s="27">
        <f>IF((E194/E195*5)=0,1,IF((E194/E195*5)&lt;=1,1,IF((E194/E195*5)&gt;=3,3,IF((E194/E195*5)=5,3,E194/E195*5))))</f>
        <v>1</v>
      </c>
      <c r="F196" s="27">
        <f>IF((F194/F195*5)=0,1,IF((F194/F195*5)&lt;=1,1,IF((F194/F195*5)&gt;=3,3,IF((F194/F195*5)=5,3,F194/F195*5))))</f>
        <v>1</v>
      </c>
      <c r="G196" s="27">
        <f>IF((G194/G195*5)=0,1,IF((G194/G195*5)&lt;=1,1,IF((G194/G195*5)&gt;=3,3,IF((G194/G195*5)=5,3,G194/G195*5))))</f>
        <v>1</v>
      </c>
      <c r="H196" s="27">
        <f>IF((H194/H195*5)=0,1,IF((H194/H195*5)&lt;=1,1,IF((H194/H195*5)&gt;=3,3,IF((H194/H195*5)=5,3,H194/H195*5))))</f>
        <v>1</v>
      </c>
      <c r="I196" s="27">
        <f>IF((I194/I195*5)=0,1,IF((I194/I195*5)&lt;=1,1,IF((I194/I195*5)&gt;=3,3,IF((I194/I195*5)=5,3,I194/I195*5))))</f>
        <v>1.375</v>
      </c>
      <c r="J196" s="27">
        <f t="shared" ref="J196:L196" si="70">IF((J194/J195*5)=0,1,IF((J194/J195*5)&lt;=1,1,IF((J194/J195*5)&gt;=3,3,IF((J194/J195*5)=5,3,J194/J195*5))))</f>
        <v>1</v>
      </c>
      <c r="K196" s="27">
        <f t="shared" si="70"/>
        <v>1.1666666666666667</v>
      </c>
      <c r="L196" s="27">
        <f t="shared" si="70"/>
        <v>1.8333333333333335</v>
      </c>
      <c r="M196" s="27"/>
      <c r="N196" s="27">
        <f>AVERAGE(J196:L196)</f>
        <v>1.3333333333333333</v>
      </c>
      <c r="O196" s="34" t="s">
        <v>141</v>
      </c>
    </row>
    <row r="197" spans="1:15" ht="15" thickBot="1" x14ac:dyDescent="0.4"/>
    <row r="198" spans="1:15" ht="15" thickBot="1" x14ac:dyDescent="0.4">
      <c r="A198" s="17">
        <v>45538</v>
      </c>
      <c r="B198" s="18" t="s">
        <v>145</v>
      </c>
      <c r="C198" s="18"/>
      <c r="D198" s="30" t="s">
        <v>62</v>
      </c>
      <c r="E198" s="19">
        <v>0</v>
      </c>
      <c r="F198" s="19">
        <f>0+0</f>
        <v>0</v>
      </c>
      <c r="G198" s="19">
        <f>0+0</f>
        <v>0</v>
      </c>
      <c r="H198" s="19">
        <f>0+0+0+0</f>
        <v>0</v>
      </c>
      <c r="I198" s="19">
        <f>0+0+0+0</f>
        <v>0</v>
      </c>
      <c r="J198" s="19">
        <f>0.1+0+0</f>
        <v>0.1</v>
      </c>
      <c r="K198" s="19">
        <f>0+0+0+0</f>
        <v>0</v>
      </c>
      <c r="L198" s="19">
        <f>0+0+0+0</f>
        <v>0</v>
      </c>
      <c r="M198" s="19"/>
      <c r="N198" s="18"/>
      <c r="O198" s="20"/>
    </row>
    <row r="199" spans="1:15" ht="15" thickBot="1" x14ac:dyDescent="0.4">
      <c r="A199" s="17">
        <v>45538</v>
      </c>
      <c r="B199" s="18" t="s">
        <v>145</v>
      </c>
      <c r="C199" s="22"/>
      <c r="D199" s="22" t="s">
        <v>57</v>
      </c>
      <c r="E199" s="23">
        <v>1</v>
      </c>
      <c r="F199" s="23">
        <v>1</v>
      </c>
      <c r="G199" s="23">
        <v>2</v>
      </c>
      <c r="H199" s="23">
        <v>4</v>
      </c>
      <c r="I199" s="23">
        <v>4</v>
      </c>
      <c r="J199" s="23">
        <v>3</v>
      </c>
      <c r="K199" s="23">
        <v>4</v>
      </c>
      <c r="L199" s="23">
        <v>4</v>
      </c>
      <c r="M199" s="23"/>
      <c r="N199" s="22"/>
      <c r="O199" s="34" t="s">
        <v>141</v>
      </c>
    </row>
    <row r="200" spans="1:15" ht="15" thickBot="1" x14ac:dyDescent="0.4">
      <c r="A200" s="17">
        <v>45538</v>
      </c>
      <c r="B200" s="18" t="s">
        <v>145</v>
      </c>
      <c r="C200" s="26"/>
      <c r="D200" s="26" t="s">
        <v>58</v>
      </c>
      <c r="E200" s="27">
        <f>IF((E198/E199*5)=0,1,IF((E198/E199*5)&lt;=1,1,IF((E198/E199*5)&gt;=3,3,IF((E198/E199*5)=5,3,E198/E199*5))))</f>
        <v>1</v>
      </c>
      <c r="F200" s="27">
        <f>IF((F198/F199*5)=0,1,IF((F198/F199*5)&lt;=1,1,IF((F198/F199*5)&gt;=3,3,IF((F198/F199*5)=5,3,F198/F199*5))))</f>
        <v>1</v>
      </c>
      <c r="G200" s="27">
        <f>IF((G198/G199*5)=0,1,IF((G198/G199*5)&lt;=1,1,IF((G198/G199*5)&gt;=3,3,IF((G198/G199*5)=5,3,G198/G199*5))))</f>
        <v>1</v>
      </c>
      <c r="H200" s="27">
        <f>IF((H198/H199*5)=0,1,IF((H198/H199*5)&lt;=1,1,IF((H198/H199*5)&gt;=3,3,IF((H198/H199*5)=5,3,H198/H199*5))))</f>
        <v>1</v>
      </c>
      <c r="I200" s="27">
        <f>IF((I198/I199*5)=0,1,IF((I198/I199*5)&lt;=1,1,IF((I198/I199*5)&gt;=3,3,IF((I198/I199*5)=5,3,I198/I199*5))))</f>
        <v>1</v>
      </c>
      <c r="J200" s="27">
        <f t="shared" ref="J200:L200" si="71">IF((J198/J199*5)=0,1,IF((J198/J199*5)&lt;=1,1,IF((J198/J199*5)&gt;=3,3,IF((J198/J199*5)=5,3,J198/J199*5))))</f>
        <v>1</v>
      </c>
      <c r="K200" s="27">
        <f t="shared" si="71"/>
        <v>1</v>
      </c>
      <c r="L200" s="27">
        <f t="shared" si="71"/>
        <v>1</v>
      </c>
      <c r="M200" s="27"/>
      <c r="N200" s="27">
        <f>AVERAGE(J200:L200)</f>
        <v>1</v>
      </c>
      <c r="O200" s="34" t="s">
        <v>141</v>
      </c>
    </row>
    <row r="201" spans="1:15" ht="15" thickBot="1" x14ac:dyDescent="0.4"/>
    <row r="202" spans="1:15" ht="15" thickBot="1" x14ac:dyDescent="0.4">
      <c r="A202" s="17">
        <v>45538</v>
      </c>
      <c r="B202" s="18" t="s">
        <v>110</v>
      </c>
      <c r="C202" s="18" t="s">
        <v>119</v>
      </c>
      <c r="D202" s="30" t="s">
        <v>62</v>
      </c>
      <c r="E202" s="19">
        <v>0</v>
      </c>
      <c r="F202" s="19">
        <f>0+0</f>
        <v>0</v>
      </c>
      <c r="G202" s="19">
        <f>0+0</f>
        <v>0</v>
      </c>
      <c r="H202" s="19">
        <f>0+0.6+0.5+0.3</f>
        <v>1.4000000000000001</v>
      </c>
      <c r="I202" s="19">
        <f>0.5+0.4+0.4+0</f>
        <v>1.3</v>
      </c>
      <c r="J202" s="19">
        <f>0.4+0.8</f>
        <v>1.2000000000000002</v>
      </c>
      <c r="K202" s="19">
        <f>0.1+0.5+0</f>
        <v>0.6</v>
      </c>
      <c r="L202" s="19">
        <f>0.5+0.4+0.8</f>
        <v>1.7000000000000002</v>
      </c>
      <c r="M202" s="19"/>
      <c r="N202" s="18"/>
      <c r="O202" s="20"/>
    </row>
    <row r="203" spans="1:15" ht="15" thickBot="1" x14ac:dyDescent="0.4">
      <c r="A203" s="17">
        <v>45538</v>
      </c>
      <c r="B203" s="18" t="s">
        <v>110</v>
      </c>
      <c r="C203" s="22"/>
      <c r="D203" s="22" t="s">
        <v>57</v>
      </c>
      <c r="E203" s="23">
        <v>1</v>
      </c>
      <c r="F203" s="23">
        <v>1</v>
      </c>
      <c r="G203" s="23">
        <v>2</v>
      </c>
      <c r="H203" s="23">
        <v>4</v>
      </c>
      <c r="I203" s="23">
        <v>4</v>
      </c>
      <c r="J203" s="23">
        <v>2</v>
      </c>
      <c r="K203" s="23">
        <v>3</v>
      </c>
      <c r="L203" s="23">
        <v>3</v>
      </c>
      <c r="M203" s="23"/>
      <c r="N203" s="22"/>
      <c r="O203" s="24"/>
    </row>
    <row r="204" spans="1:15" ht="15" thickBot="1" x14ac:dyDescent="0.4">
      <c r="A204" s="17">
        <v>45538</v>
      </c>
      <c r="B204" s="18" t="s">
        <v>110</v>
      </c>
      <c r="C204" s="26"/>
      <c r="D204" s="26" t="s">
        <v>58</v>
      </c>
      <c r="E204" s="27">
        <f>IF((E202/E203*5)=0,1,IF((E202/E203*5)&lt;=1,1,IF((E202/E203*5)&gt;=3,3,IF((E202/E203*5)=5,3,E202/E203*5))))</f>
        <v>1</v>
      </c>
      <c r="F204" s="27">
        <f>IF((F202/F203*5)=0,1,IF((F202/F203*5)&lt;=1,1,IF((F202/F203*5)&gt;=3,3,IF((F202/F203*5)=5,3,F202/F203*5))))</f>
        <v>1</v>
      </c>
      <c r="G204" s="27">
        <f>IF((G202/G203*5)=0,1,IF((G202/G203*5)&lt;=1,1,IF((G202/G203*5)&gt;=3,3,IF((G202/G203*5)=5,3,G202/G203*5))))</f>
        <v>1</v>
      </c>
      <c r="H204" s="27">
        <f>IF((H202/H203*5)=0,1,IF((H202/H203*5)&lt;=1,1,IF((H202/H203*5)&gt;=3,3,IF((H202/H203*5)=5,3,H202/H203*5))))</f>
        <v>1.7500000000000002</v>
      </c>
      <c r="I204" s="27">
        <f>IF((I202/I203*5)=0,1,IF((I202/I203*5)&lt;=1,1,IF((I202/I203*5)&gt;=3,3,IF((I202/I203*5)=5,3,I202/I203*5))))</f>
        <v>1.625</v>
      </c>
      <c r="J204" s="27">
        <f t="shared" ref="J204:L204" si="72">IF((J202/J203*5)=0,1,IF((J202/J203*5)&lt;=1,1,IF((J202/J203*5)&gt;=3,3,IF((J202/J203*5)=5,3,J202/J203*5))))</f>
        <v>3</v>
      </c>
      <c r="K204" s="27">
        <f t="shared" si="72"/>
        <v>1</v>
      </c>
      <c r="L204" s="27">
        <f t="shared" si="72"/>
        <v>2.8333333333333339</v>
      </c>
      <c r="M204" s="27"/>
      <c r="N204" s="27">
        <f>AVERAGE(J204:L204)</f>
        <v>2.2777777777777781</v>
      </c>
      <c r="O204" s="34" t="s">
        <v>106</v>
      </c>
    </row>
    <row r="205" spans="1:15" ht="15" thickBot="1" x14ac:dyDescent="0.4"/>
    <row r="206" spans="1:15" ht="15" thickBot="1" x14ac:dyDescent="0.4">
      <c r="A206" s="17">
        <v>45538</v>
      </c>
      <c r="B206" s="18" t="s">
        <v>146</v>
      </c>
      <c r="C206" s="18"/>
      <c r="D206" s="30" t="s">
        <v>62</v>
      </c>
      <c r="E206" s="19">
        <v>0</v>
      </c>
      <c r="F206" s="19">
        <f>0</f>
        <v>0</v>
      </c>
      <c r="G206" s="19">
        <f>0+0</f>
        <v>0</v>
      </c>
      <c r="H206" s="19">
        <f>0.5+0.5+0.2+0</f>
        <v>1.2</v>
      </c>
      <c r="I206" s="19">
        <f>0.3+0.4+0.5+0</f>
        <v>1.2</v>
      </c>
      <c r="J206" s="19">
        <f>0+0.5+0.2</f>
        <v>0.7</v>
      </c>
      <c r="K206" s="19">
        <f>0.7+0.4+0.2+0.5</f>
        <v>1.8</v>
      </c>
      <c r="L206" s="19">
        <f>0+0+0+0</f>
        <v>0</v>
      </c>
      <c r="M206" s="19"/>
      <c r="N206" s="18"/>
      <c r="O206" s="20"/>
    </row>
    <row r="207" spans="1:15" ht="15" thickBot="1" x14ac:dyDescent="0.4">
      <c r="A207" s="17">
        <v>45538</v>
      </c>
      <c r="B207" s="18" t="s">
        <v>146</v>
      </c>
      <c r="C207" s="22"/>
      <c r="D207" s="22" t="s">
        <v>57</v>
      </c>
      <c r="E207" s="23">
        <v>1</v>
      </c>
      <c r="F207" s="23">
        <v>1</v>
      </c>
      <c r="G207" s="23">
        <v>2</v>
      </c>
      <c r="H207" s="23">
        <v>4</v>
      </c>
      <c r="I207" s="23">
        <v>4</v>
      </c>
      <c r="J207" s="23">
        <v>3</v>
      </c>
      <c r="K207" s="23">
        <v>4</v>
      </c>
      <c r="L207" s="23">
        <v>4</v>
      </c>
      <c r="M207" s="23"/>
      <c r="N207" s="22"/>
      <c r="O207" s="24"/>
    </row>
    <row r="208" spans="1:15" ht="15" thickBot="1" x14ac:dyDescent="0.4">
      <c r="A208" s="17">
        <v>45538</v>
      </c>
      <c r="B208" s="18" t="s">
        <v>146</v>
      </c>
      <c r="C208" s="26"/>
      <c r="D208" s="26" t="s">
        <v>58</v>
      </c>
      <c r="E208" s="27">
        <f>IF((E206/E207*5)=0,1,IF((E206/E207*5)&lt;=1,1,IF((E206/E207*5)&gt;=3,3,IF((E206/E207*5)=5,3,E206/E207*5))))</f>
        <v>1</v>
      </c>
      <c r="F208" s="27">
        <f>IF((F206/F207*5)=0,1,IF((F206/F207*5)&lt;=1,1,IF((F206/F207*5)&gt;=3,3,IF((F206/F207*5)=5,3,F206/F207*5))))</f>
        <v>1</v>
      </c>
      <c r="G208" s="27">
        <f>IF((G206/G207*5)=0,1,IF((G206/G207*5)&lt;=1,1,IF((G206/G207*5)&gt;=3,3,IF((G206/G207*5)=5,3,G206/G207*5))))</f>
        <v>1</v>
      </c>
      <c r="H208" s="27">
        <f>IF((H206/H207*5)=0,1,IF((H206/H207*5)&lt;=1,1,IF((H206/H207*5)&gt;=3,3,IF((H206/H207*5)=5,3,H206/H207*5))))</f>
        <v>1.5</v>
      </c>
      <c r="I208" s="27">
        <f>IF((I206/I207*5)=0,1,IF((I206/I207*5)&lt;=1,1,IF((I206/I207*5)&gt;=3,3,IF((I206/I207*5)=5,3,I206/I207*5))))</f>
        <v>1.5</v>
      </c>
      <c r="J208" s="27">
        <f t="shared" ref="J208:L208" si="73">IF((J206/J207*5)=0,1,IF((J206/J207*5)&lt;=1,1,IF((J206/J207*5)&gt;=3,3,IF((J206/J207*5)=5,3,J206/J207*5))))</f>
        <v>1.1666666666666665</v>
      </c>
      <c r="K208" s="27">
        <f t="shared" si="73"/>
        <v>2.25</v>
      </c>
      <c r="L208" s="27">
        <f t="shared" si="73"/>
        <v>1</v>
      </c>
      <c r="M208" s="27"/>
      <c r="N208" s="27">
        <f>AVERAGE(J208:L208)</f>
        <v>1.4722222222222221</v>
      </c>
      <c r="O208" s="34" t="s">
        <v>141</v>
      </c>
    </row>
    <row r="209" spans="1:15" ht="15" thickBot="1" x14ac:dyDescent="0.4"/>
    <row r="210" spans="1:15" ht="15" thickBot="1" x14ac:dyDescent="0.4">
      <c r="A210" s="17">
        <v>45553</v>
      </c>
      <c r="B210" s="18" t="s">
        <v>147</v>
      </c>
      <c r="C210" s="18" t="s">
        <v>119</v>
      </c>
      <c r="D210" s="30" t="s">
        <v>62</v>
      </c>
      <c r="E210" s="19">
        <v>0</v>
      </c>
      <c r="F210" s="19">
        <f>0+0</f>
        <v>0</v>
      </c>
      <c r="G210" s="19">
        <f>0+0</f>
        <v>0</v>
      </c>
      <c r="H210" s="19">
        <f>0.3+0+0.2+0</f>
        <v>0.5</v>
      </c>
      <c r="I210" s="19">
        <f>0.3+0.5+0.2+0</f>
        <v>1</v>
      </c>
      <c r="J210" s="19">
        <f>0+0</f>
        <v>0</v>
      </c>
      <c r="K210" s="19">
        <f>0.1+0+0.6</f>
        <v>0.7</v>
      </c>
      <c r="L210" s="19">
        <f>0.2+0.4+0.4</f>
        <v>1</v>
      </c>
      <c r="M210" s="19"/>
      <c r="N210" s="18"/>
      <c r="O210" s="20"/>
    </row>
    <row r="211" spans="1:15" ht="15" thickBot="1" x14ac:dyDescent="0.4">
      <c r="A211" s="17">
        <v>45553</v>
      </c>
      <c r="B211" s="18" t="s">
        <v>147</v>
      </c>
      <c r="C211" s="22"/>
      <c r="D211" s="22" t="s">
        <v>57</v>
      </c>
      <c r="E211" s="23">
        <v>1</v>
      </c>
      <c r="F211" s="23">
        <v>1</v>
      </c>
      <c r="G211" s="23">
        <v>2</v>
      </c>
      <c r="H211" s="23">
        <v>4</v>
      </c>
      <c r="I211" s="23">
        <v>4</v>
      </c>
      <c r="J211" s="23">
        <v>2</v>
      </c>
      <c r="K211" s="23">
        <v>3</v>
      </c>
      <c r="L211" s="23">
        <v>3</v>
      </c>
      <c r="M211" s="23"/>
      <c r="N211" s="22"/>
      <c r="O211" s="24"/>
    </row>
    <row r="212" spans="1:15" ht="15" thickBot="1" x14ac:dyDescent="0.4">
      <c r="A212" s="17">
        <v>45553</v>
      </c>
      <c r="B212" s="18" t="s">
        <v>147</v>
      </c>
      <c r="C212" s="26"/>
      <c r="D212" s="26" t="s">
        <v>58</v>
      </c>
      <c r="E212" s="27">
        <f>IF((E210/E211*5)=0,1,IF((E210/E211*5)&lt;=1,1,IF((E210/E211*5)&gt;=3,3,IF((E210/E211*5)=5,3,E210/E211*5))))</f>
        <v>1</v>
      </c>
      <c r="F212" s="27">
        <f>IF((F210/F211*5)=0,1,IF((F210/F211*5)&lt;=1,1,IF((F210/F211*5)&gt;=3,3,IF((F210/F211*5)=5,3,F210/F211*5))))</f>
        <v>1</v>
      </c>
      <c r="G212" s="27">
        <f>IF((G210/G211*5)=0,1,IF((G210/G211*5)&lt;=1,1,IF((G210/G211*5)&gt;=3,3,IF((G210/G211*5)=5,3,G210/G211*5))))</f>
        <v>1</v>
      </c>
      <c r="H212" s="27">
        <f>IF((H210/H211*5)=0,1,IF((H210/H211*5)&lt;=1,1,IF((H210/H211*5)&gt;=3,3,IF((H210/H211*5)=5,3,H210/H211*5))))</f>
        <v>1</v>
      </c>
      <c r="I212" s="27">
        <f>IF((I210/I211*5)=0,1,IF((I210/I211*5)&lt;=1,1,IF((I210/I211*5)&gt;=3,3,IF((I210/I211*5)=5,3,I210/I211*5))))</f>
        <v>1.25</v>
      </c>
      <c r="J212" s="27">
        <f t="shared" ref="J212:L212" si="74">IF((J210/J211*5)=0,1,IF((J210/J211*5)&lt;=1,1,IF((J210/J211*5)&gt;=3,3,IF((J210/J211*5)=5,3,J210/J211*5))))</f>
        <v>1</v>
      </c>
      <c r="K212" s="27">
        <f t="shared" si="74"/>
        <v>1.1666666666666665</v>
      </c>
      <c r="L212" s="27">
        <f t="shared" si="74"/>
        <v>1.6666666666666665</v>
      </c>
      <c r="M212" s="27"/>
      <c r="N212" s="27">
        <f>AVERAGE(J212:L212)</f>
        <v>1.2777777777777777</v>
      </c>
      <c r="O212" s="34" t="s">
        <v>141</v>
      </c>
    </row>
    <row r="213" spans="1:15" ht="15" thickBot="1" x14ac:dyDescent="0.4"/>
    <row r="214" spans="1:15" ht="15" thickBot="1" x14ac:dyDescent="0.4">
      <c r="A214" s="17">
        <v>45553</v>
      </c>
      <c r="B214" s="18" t="s">
        <v>148</v>
      </c>
      <c r="C214" s="18" t="s">
        <v>119</v>
      </c>
      <c r="D214" s="30" t="s">
        <v>62</v>
      </c>
      <c r="E214" s="19">
        <v>0</v>
      </c>
      <c r="F214" s="19">
        <f>0+0</f>
        <v>0</v>
      </c>
      <c r="G214" s="19">
        <f>0+0</f>
        <v>0</v>
      </c>
      <c r="H214" s="19">
        <f>0.4+0.5+0.4+0</f>
        <v>1.3</v>
      </c>
      <c r="I214" s="19">
        <f>0.5+0+0+0</f>
        <v>0.5</v>
      </c>
      <c r="J214" s="19">
        <f>0.7+0.6</f>
        <v>1.2999999999999998</v>
      </c>
      <c r="K214" s="19">
        <f>0.1+0.8+0.6</f>
        <v>1.5</v>
      </c>
      <c r="L214" s="19">
        <f>0+0.4+0.4</f>
        <v>0.8</v>
      </c>
      <c r="M214" s="19"/>
      <c r="N214" s="18"/>
      <c r="O214" s="20"/>
    </row>
    <row r="215" spans="1:15" ht="15" thickBot="1" x14ac:dyDescent="0.4">
      <c r="A215" s="17">
        <v>45553</v>
      </c>
      <c r="B215" s="18" t="s">
        <v>148</v>
      </c>
      <c r="C215" s="22"/>
      <c r="D215" s="22" t="s">
        <v>57</v>
      </c>
      <c r="E215" s="23">
        <v>1</v>
      </c>
      <c r="F215" s="23">
        <v>1</v>
      </c>
      <c r="G215" s="23">
        <v>2</v>
      </c>
      <c r="H215" s="23">
        <v>4</v>
      </c>
      <c r="I215" s="23">
        <v>4</v>
      </c>
      <c r="J215" s="23">
        <v>2</v>
      </c>
      <c r="K215" s="23">
        <v>3</v>
      </c>
      <c r="L215" s="23">
        <v>3</v>
      </c>
      <c r="M215" s="23"/>
      <c r="N215" s="22"/>
      <c r="O215" s="24"/>
    </row>
    <row r="216" spans="1:15" ht="15" thickBot="1" x14ac:dyDescent="0.4">
      <c r="A216" s="17">
        <v>45553</v>
      </c>
      <c r="B216" s="18" t="s">
        <v>148</v>
      </c>
      <c r="C216" s="26"/>
      <c r="D216" s="26" t="s">
        <v>58</v>
      </c>
      <c r="E216" s="27">
        <f>IF((E214/E215*5)=0,1,IF((E214/E215*5)&lt;=1,1,IF((E214/E215*5)&gt;=3,3,IF((E214/E215*5)=5,3,E214/E215*5))))</f>
        <v>1</v>
      </c>
      <c r="F216" s="27">
        <f>IF((F214/F215*5)=0,1,IF((F214/F215*5)&lt;=1,1,IF((F214/F215*5)&gt;=3,3,IF((F214/F215*5)=5,3,F214/F215*5))))</f>
        <v>1</v>
      </c>
      <c r="G216" s="27">
        <f>IF((G214/G215*5)=0,1,IF((G214/G215*5)&lt;=1,1,IF((G214/G215*5)&gt;=3,3,IF((G214/G215*5)=5,3,G214/G215*5))))</f>
        <v>1</v>
      </c>
      <c r="H216" s="27">
        <f>IF((H214/H215*5)=0,1,IF((H214/H215*5)&lt;=1,1,IF((H214/H215*5)&gt;=3,3,IF((H214/H215*5)=5,3,H214/H215*5))))</f>
        <v>1.625</v>
      </c>
      <c r="I216" s="27">
        <f>IF((I214/I215*5)=0,1,IF((I214/I215*5)&lt;=1,1,IF((I214/I215*5)&gt;=3,3,IF((I214/I215*5)=5,3,I214/I215*5))))</f>
        <v>1</v>
      </c>
      <c r="J216" s="27">
        <f t="shared" ref="J216:L216" si="75">IF((J214/J215*5)=0,1,IF((J214/J215*5)&lt;=1,1,IF((J214/J215*5)&gt;=3,3,IF((J214/J215*5)=5,3,J214/J215*5))))</f>
        <v>3</v>
      </c>
      <c r="K216" s="27">
        <f t="shared" si="75"/>
        <v>2.5</v>
      </c>
      <c r="L216" s="27">
        <f t="shared" si="75"/>
        <v>1.3333333333333333</v>
      </c>
      <c r="M216" s="27"/>
      <c r="N216" s="27">
        <f>AVERAGE(J216:L216)</f>
        <v>2.2777777777777777</v>
      </c>
      <c r="O216" s="34" t="s">
        <v>149</v>
      </c>
    </row>
    <row r="217" spans="1:15" ht="15" thickBot="1" x14ac:dyDescent="0.4"/>
    <row r="218" spans="1:15" ht="15" thickBot="1" x14ac:dyDescent="0.4">
      <c r="A218" s="17">
        <v>45554</v>
      </c>
      <c r="B218" s="18" t="s">
        <v>150</v>
      </c>
      <c r="C218" s="18"/>
      <c r="D218" s="30" t="s">
        <v>62</v>
      </c>
      <c r="E218" s="19">
        <v>0</v>
      </c>
      <c r="F218" s="19">
        <f>0</f>
        <v>0</v>
      </c>
      <c r="G218" s="19">
        <f>0+0</f>
        <v>0</v>
      </c>
      <c r="H218" s="19">
        <f>0+0+0+0</f>
        <v>0</v>
      </c>
      <c r="I218" s="19">
        <f>0.3+0+0+0</f>
        <v>0.3</v>
      </c>
      <c r="J218" s="19">
        <f>0.2+0.3+0.2</f>
        <v>0.7</v>
      </c>
      <c r="K218" s="19">
        <f>0+0+0+0</f>
        <v>0</v>
      </c>
      <c r="L218" s="19">
        <f>0.2+0+0+0</f>
        <v>0.2</v>
      </c>
      <c r="M218" s="19"/>
      <c r="N218" s="18"/>
      <c r="O218" s="20"/>
    </row>
    <row r="219" spans="1:15" ht="15" thickBot="1" x14ac:dyDescent="0.4">
      <c r="A219" s="17">
        <v>45554</v>
      </c>
      <c r="B219" s="18" t="s">
        <v>150</v>
      </c>
      <c r="C219" s="22"/>
      <c r="D219" s="22" t="s">
        <v>57</v>
      </c>
      <c r="E219" s="23">
        <v>1</v>
      </c>
      <c r="F219" s="23">
        <v>1</v>
      </c>
      <c r="G219" s="23">
        <v>2</v>
      </c>
      <c r="H219" s="23">
        <v>4</v>
      </c>
      <c r="I219" s="23">
        <v>4</v>
      </c>
      <c r="J219" s="23">
        <v>3</v>
      </c>
      <c r="K219" s="23">
        <v>4</v>
      </c>
      <c r="L219" s="23">
        <v>4</v>
      </c>
      <c r="M219" s="23"/>
      <c r="N219" s="22"/>
      <c r="O219" s="24"/>
    </row>
    <row r="220" spans="1:15" ht="15" thickBot="1" x14ac:dyDescent="0.4">
      <c r="A220" s="17">
        <v>45554</v>
      </c>
      <c r="B220" s="18" t="s">
        <v>150</v>
      </c>
      <c r="C220" s="26"/>
      <c r="D220" s="26" t="s">
        <v>58</v>
      </c>
      <c r="E220" s="27">
        <f>IF((E218/E219*5)=0,1,IF((E218/E219*5)&lt;=1,1,IF((E218/E219*5)&gt;=3,3,IF((E218/E219*5)=5,3,E218/E219*5))))</f>
        <v>1</v>
      </c>
      <c r="F220" s="27">
        <f>IF((F218/F219*5)=0,1,IF((F218/F219*5)&lt;=1,1,IF((F218/F219*5)&gt;=3,3,IF((F218/F219*5)=5,3,F218/F219*5))))</f>
        <v>1</v>
      </c>
      <c r="G220" s="27">
        <f>IF((G218/G219*5)=0,1,IF((G218/G219*5)&lt;=1,1,IF((G218/G219*5)&gt;=3,3,IF((G218/G219*5)=5,3,G218/G219*5))))</f>
        <v>1</v>
      </c>
      <c r="H220" s="27">
        <f>IF((H218/H219*5)=0,1,IF((H218/H219*5)&lt;=1,1,IF((H218/H219*5)&gt;=3,3,IF((H218/H219*5)=5,3,H218/H219*5))))</f>
        <v>1</v>
      </c>
      <c r="I220" s="27">
        <f>IF((I218/I219*5)=0,1,IF((I218/I219*5)&lt;=1,1,IF((I218/I219*5)&gt;=3,3,IF((I218/I219*5)=5,3,I218/I219*5))))</f>
        <v>1</v>
      </c>
      <c r="J220" s="27">
        <f t="shared" ref="J220:L220" si="76">IF((J218/J219*5)=0,1,IF((J218/J219*5)&lt;=1,1,IF((J218/J219*5)&gt;=3,3,IF((J218/J219*5)=5,3,J218/J219*5))))</f>
        <v>1.1666666666666665</v>
      </c>
      <c r="K220" s="27">
        <f t="shared" si="76"/>
        <v>1</v>
      </c>
      <c r="L220" s="27">
        <f t="shared" si="76"/>
        <v>1</v>
      </c>
      <c r="M220" s="27"/>
      <c r="N220" s="27">
        <f>AVERAGE(J220:L220)</f>
        <v>1.0555555555555556</v>
      </c>
      <c r="O220" s="34" t="s">
        <v>151</v>
      </c>
    </row>
    <row r="221" spans="1:15" ht="15" thickBot="1" x14ac:dyDescent="0.4"/>
    <row r="222" spans="1:15" x14ac:dyDescent="0.35">
      <c r="A222" s="15">
        <v>45642</v>
      </c>
      <c r="B222" s="14" t="s">
        <v>152</v>
      </c>
      <c r="C222" s="18"/>
      <c r="D222" s="30" t="s">
        <v>62</v>
      </c>
      <c r="E222" s="19">
        <v>0</v>
      </c>
      <c r="F222" s="19">
        <f>0</f>
        <v>0</v>
      </c>
      <c r="G222" s="19">
        <f>0+0</f>
        <v>0</v>
      </c>
      <c r="H222" s="19">
        <f>0.4+0.5+0.5+0.7</f>
        <v>2.0999999999999996</v>
      </c>
      <c r="I222" s="19">
        <f>0.3+0+0+0.5</f>
        <v>0.8</v>
      </c>
      <c r="J222" s="19">
        <f>0.2+0.5+0.2</f>
        <v>0.89999999999999991</v>
      </c>
      <c r="K222" s="19">
        <f>0.2+0+0+0.2</f>
        <v>0.4</v>
      </c>
      <c r="L222" s="19">
        <f>0.2+0+0+0</f>
        <v>0.2</v>
      </c>
      <c r="M222" s="19"/>
      <c r="N222" s="18"/>
    </row>
    <row r="223" spans="1:15" x14ac:dyDescent="0.35">
      <c r="A223" s="15">
        <v>45642</v>
      </c>
      <c r="B223" s="14" t="s">
        <v>152</v>
      </c>
      <c r="C223" s="22"/>
      <c r="D223" s="22" t="s">
        <v>57</v>
      </c>
      <c r="E223" s="23">
        <v>1</v>
      </c>
      <c r="F223" s="23">
        <v>1</v>
      </c>
      <c r="G223" s="23">
        <v>2</v>
      </c>
      <c r="H223" s="23">
        <v>4</v>
      </c>
      <c r="I223" s="23">
        <v>4</v>
      </c>
      <c r="J223" s="23">
        <v>3</v>
      </c>
      <c r="K223" s="23">
        <v>4</v>
      </c>
      <c r="L223" s="23">
        <v>4</v>
      </c>
      <c r="M223" s="23"/>
      <c r="N223" s="22"/>
    </row>
    <row r="224" spans="1:15" ht="15" thickBot="1" x14ac:dyDescent="0.4">
      <c r="A224" s="15">
        <v>45642</v>
      </c>
      <c r="B224" s="14" t="s">
        <v>152</v>
      </c>
      <c r="C224" s="26"/>
      <c r="D224" s="26" t="s">
        <v>58</v>
      </c>
      <c r="E224" s="27">
        <f>IF((E222/E223*5)=0,1,IF((E222/E223*5)&lt;=1,1,IF((E222/E223*5)&gt;=3,3,IF((E222/E223*5)=5,3,E222/E223*5))))</f>
        <v>1</v>
      </c>
      <c r="F224" s="27">
        <f>IF((F222/F223*5)=0,1,IF((F222/F223*5)&lt;=1,1,IF((F222/F223*5)&gt;=3,3,IF((F222/F223*5)=5,3,F222/F223*5))))</f>
        <v>1</v>
      </c>
      <c r="G224" s="27">
        <f>IF((G222/G223*5)=0,1,IF((G222/G223*5)&lt;=1,1,IF((G222/G223*5)&gt;=3,3,IF((G222/G223*5)=5,3,G222/G223*5))))</f>
        <v>1</v>
      </c>
      <c r="H224" s="27">
        <f>IF((H222/H223*5)=0,1,IF((H222/H223*5)&lt;=1,1,IF((H222/H223*5)&gt;=3,3,IF((H222/H223*5)=5,3,H222/H223*5))))</f>
        <v>2.6249999999999996</v>
      </c>
      <c r="I224" s="27">
        <f>IF((I222/I223*5)=0,1,IF((I222/I223*5)&lt;=1,1,IF((I222/I223*5)&gt;=3,3,IF((I222/I223*5)=5,3,I222/I223*5))))</f>
        <v>1</v>
      </c>
      <c r="J224" s="27">
        <f t="shared" ref="J224:L224" si="77">IF((J222/J223*5)=0,1,IF((J222/J223*5)&lt;=1,1,IF((J222/J223*5)&gt;=3,3,IF((J222/J223*5)=5,3,J222/J223*5))))</f>
        <v>1.5</v>
      </c>
      <c r="K224" s="27">
        <f t="shared" si="77"/>
        <v>1</v>
      </c>
      <c r="L224" s="27">
        <f t="shared" si="77"/>
        <v>1</v>
      </c>
      <c r="M224" s="27"/>
      <c r="N224" s="27">
        <f>AVERAGE(J224:L224)</f>
        <v>1.1666666666666667</v>
      </c>
      <c r="O224" s="34" t="s">
        <v>141</v>
      </c>
    </row>
    <row r="225" spans="1:15" ht="15" thickBot="1" x14ac:dyDescent="0.4"/>
    <row r="226" spans="1:15" x14ac:dyDescent="0.35">
      <c r="A226" s="15">
        <v>45645</v>
      </c>
      <c r="B226" s="14" t="s">
        <v>153</v>
      </c>
      <c r="C226" s="18"/>
      <c r="D226" s="30" t="s">
        <v>62</v>
      </c>
      <c r="E226" s="19">
        <v>0</v>
      </c>
      <c r="F226" s="19">
        <f>0</f>
        <v>0</v>
      </c>
      <c r="G226" s="19">
        <f>0+0</f>
        <v>0</v>
      </c>
      <c r="H226" s="19">
        <f>0.2+0.4+0.3+0.4</f>
        <v>1.3000000000000003</v>
      </c>
      <c r="I226" s="19">
        <f>0.5+0.2+0.5+0.7</f>
        <v>1.9</v>
      </c>
      <c r="J226" s="19">
        <f>0.2+0.3+0.2</f>
        <v>0.7</v>
      </c>
      <c r="K226" s="19">
        <f>0.2+0+0+0.3</f>
        <v>0.5</v>
      </c>
      <c r="L226" s="19">
        <f>0+0.2+0+0.3</f>
        <v>0.5</v>
      </c>
      <c r="M226" s="19"/>
      <c r="N226" s="18"/>
    </row>
    <row r="227" spans="1:15" x14ac:dyDescent="0.35">
      <c r="A227" s="15">
        <v>45645</v>
      </c>
      <c r="B227" s="14" t="s">
        <v>153</v>
      </c>
      <c r="C227" s="22"/>
      <c r="D227" s="22" t="s">
        <v>57</v>
      </c>
      <c r="E227" s="23">
        <v>1</v>
      </c>
      <c r="F227" s="23">
        <v>1</v>
      </c>
      <c r="G227" s="23">
        <v>2</v>
      </c>
      <c r="H227" s="23">
        <v>4</v>
      </c>
      <c r="I227" s="23">
        <v>4</v>
      </c>
      <c r="J227" s="23">
        <v>3</v>
      </c>
      <c r="K227" s="23">
        <v>4</v>
      </c>
      <c r="L227" s="23">
        <v>4</v>
      </c>
      <c r="M227" s="23"/>
      <c r="N227" s="22"/>
    </row>
    <row r="228" spans="1:15" ht="15" thickBot="1" x14ac:dyDescent="0.4">
      <c r="A228" s="15">
        <v>45645</v>
      </c>
      <c r="B228" s="14" t="s">
        <v>153</v>
      </c>
      <c r="C228" s="26"/>
      <c r="D228" s="26" t="s">
        <v>58</v>
      </c>
      <c r="E228" s="27">
        <f>IF((E226/E227*5)=0,1,IF((E226/E227*5)&lt;=1,1,IF((E226/E227*5)&gt;=3,3,IF((E226/E227*5)=5,3,E226/E227*5))))</f>
        <v>1</v>
      </c>
      <c r="F228" s="27">
        <f>IF((F226/F227*5)=0,1,IF((F226/F227*5)&lt;=1,1,IF((F226/F227*5)&gt;=3,3,IF((F226/F227*5)=5,3,F226/F227*5))))</f>
        <v>1</v>
      </c>
      <c r="G228" s="27">
        <f>IF((G226/G227*5)=0,1,IF((G226/G227*5)&lt;=1,1,IF((G226/G227*5)&gt;=3,3,IF((G226/G227*5)=5,3,G226/G227*5))))</f>
        <v>1</v>
      </c>
      <c r="H228" s="27">
        <f>IF((H226/H227*5)=0,1,IF((H226/H227*5)&lt;=1,1,IF((H226/H227*5)&gt;=3,3,IF((H226/H227*5)=5,3,H226/H227*5))))</f>
        <v>1.6250000000000004</v>
      </c>
      <c r="I228" s="27">
        <f>IF((I226/I227*5)=0,1,IF((I226/I227*5)&lt;=1,1,IF((I226/I227*5)&gt;=3,3,IF((I226/I227*5)=5,3,I226/I227*5))))</f>
        <v>2.375</v>
      </c>
      <c r="J228" s="27">
        <f t="shared" ref="J228:L228" si="78">IF((J226/J227*5)=0,1,IF((J226/J227*5)&lt;=1,1,IF((J226/J227*5)&gt;=3,3,IF((J226/J227*5)=5,3,J226/J227*5))))</f>
        <v>1.1666666666666665</v>
      </c>
      <c r="K228" s="27">
        <f t="shared" si="78"/>
        <v>1</v>
      </c>
      <c r="L228" s="27">
        <f t="shared" si="78"/>
        <v>1</v>
      </c>
      <c r="M228" s="27"/>
      <c r="N228" s="27">
        <f>AVERAGE(J228:L228)</f>
        <v>1.0555555555555556</v>
      </c>
      <c r="O228" s="34" t="s">
        <v>141</v>
      </c>
    </row>
    <row r="229" spans="1:15" ht="15" thickBot="1" x14ac:dyDescent="0.4"/>
    <row r="230" spans="1:15" x14ac:dyDescent="0.35">
      <c r="A230" s="15">
        <v>45646</v>
      </c>
      <c r="B230" s="14" t="s">
        <v>154</v>
      </c>
      <c r="C230" s="18"/>
      <c r="D230" s="30" t="s">
        <v>62</v>
      </c>
      <c r="E230" s="19">
        <v>0</v>
      </c>
      <c r="F230" s="19">
        <f>0</f>
        <v>0</v>
      </c>
      <c r="G230" s="19">
        <f>0+0</f>
        <v>0</v>
      </c>
      <c r="H230" s="19">
        <f>0.2+0.6+0.6+0.7</f>
        <v>2.0999999999999996</v>
      </c>
      <c r="I230" s="19">
        <f>0.7+0.4+0.5+0.7</f>
        <v>2.2999999999999998</v>
      </c>
      <c r="J230" s="19">
        <f>0.4+0.7+0.5</f>
        <v>1.6</v>
      </c>
      <c r="K230" s="19">
        <f>0.3+0+0.4+0.7</f>
        <v>1.4</v>
      </c>
      <c r="L230" s="19">
        <f>0+0.4+0.5+0.4</f>
        <v>1.3</v>
      </c>
      <c r="M230" s="19"/>
      <c r="N230" s="18"/>
    </row>
    <row r="231" spans="1:15" x14ac:dyDescent="0.35">
      <c r="A231" s="15">
        <v>45646</v>
      </c>
      <c r="B231" s="14" t="s">
        <v>154</v>
      </c>
      <c r="C231" s="22"/>
      <c r="D231" s="22" t="s">
        <v>57</v>
      </c>
      <c r="E231" s="23">
        <v>1</v>
      </c>
      <c r="F231" s="23">
        <v>1</v>
      </c>
      <c r="G231" s="23">
        <v>2</v>
      </c>
      <c r="H231" s="23">
        <v>4</v>
      </c>
      <c r="I231" s="23">
        <v>4</v>
      </c>
      <c r="J231" s="23">
        <v>3</v>
      </c>
      <c r="K231" s="23">
        <v>4</v>
      </c>
      <c r="L231" s="23">
        <v>4</v>
      </c>
      <c r="M231" s="23"/>
      <c r="N231" s="22"/>
    </row>
    <row r="232" spans="1:15" ht="15" thickBot="1" x14ac:dyDescent="0.4">
      <c r="A232" s="15">
        <v>45646</v>
      </c>
      <c r="B232" s="14" t="s">
        <v>154</v>
      </c>
      <c r="C232" s="26"/>
      <c r="D232" s="26" t="s">
        <v>58</v>
      </c>
      <c r="E232" s="27">
        <f>IF((E230/E231*5)=0,1,IF((E230/E231*5)&lt;=1,1,IF((E230/E231*5)&gt;=3,3,IF((E230/E231*5)=5,3,E230/E231*5))))</f>
        <v>1</v>
      </c>
      <c r="F232" s="27">
        <f>IF((F230/F231*5)=0,1,IF((F230/F231*5)&lt;=1,1,IF((F230/F231*5)&gt;=3,3,IF((F230/F231*5)=5,3,F230/F231*5))))</f>
        <v>1</v>
      </c>
      <c r="G232" s="27">
        <f>IF((G230/G231*5)=0,1,IF((G230/G231*5)&lt;=1,1,IF((G230/G231*5)&gt;=3,3,IF((G230/G231*5)=5,3,G230/G231*5))))</f>
        <v>1</v>
      </c>
      <c r="H232" s="27">
        <f>IF((H230/H231*5)=0,1,IF((H230/H231*5)&lt;=1,1,IF((H230/H231*5)&gt;=3,3,IF((H230/H231*5)=5,3,H230/H231*5))))</f>
        <v>2.6249999999999996</v>
      </c>
      <c r="I232" s="27">
        <f>IF((I230/I231*5)=0,1,IF((I230/I231*5)&lt;=1,1,IF((I230/I231*5)&gt;=3,3,IF((I230/I231*5)=5,3,I230/I231*5))))</f>
        <v>2.875</v>
      </c>
      <c r="J232" s="27">
        <f t="shared" ref="J232:L232" si="79">IF((J230/J231*5)=0,1,IF((J230/J231*5)&lt;=1,1,IF((J230/J231*5)&gt;=3,3,IF((J230/J231*5)=5,3,J230/J231*5))))</f>
        <v>2.6666666666666665</v>
      </c>
      <c r="K232" s="27">
        <f t="shared" si="79"/>
        <v>1.75</v>
      </c>
      <c r="L232" s="27">
        <f t="shared" si="79"/>
        <v>1.625</v>
      </c>
      <c r="M232" s="27"/>
      <c r="N232" s="27">
        <f>AVERAGE(J232:L232)</f>
        <v>2.0138888888888888</v>
      </c>
      <c r="O232" s="34" t="s">
        <v>155</v>
      </c>
    </row>
    <row r="233" spans="1:15" ht="15" thickBot="1" x14ac:dyDescent="0.4"/>
    <row r="234" spans="1:15" x14ac:dyDescent="0.35">
      <c r="A234" s="15">
        <v>45649</v>
      </c>
      <c r="B234" s="14" t="s">
        <v>156</v>
      </c>
      <c r="C234" s="18"/>
      <c r="D234" s="30" t="s">
        <v>62</v>
      </c>
      <c r="E234" s="19">
        <v>0</v>
      </c>
      <c r="F234" s="19">
        <f>0</f>
        <v>0</v>
      </c>
      <c r="G234" s="19">
        <f>0+0</f>
        <v>0</v>
      </c>
      <c r="H234" s="19">
        <f>0.2+0.3+0.3+0.3</f>
        <v>1.1000000000000001</v>
      </c>
      <c r="I234" s="19">
        <f>0.4+0.4+0.3+0.2</f>
        <v>1.3</v>
      </c>
      <c r="J234" s="19">
        <f>0.4+0.3+0.3</f>
        <v>1</v>
      </c>
      <c r="K234" s="19">
        <f>0.3+0.2+0.4+0.3</f>
        <v>1.2</v>
      </c>
      <c r="L234" s="19">
        <f>0+0+0+0</f>
        <v>0</v>
      </c>
      <c r="M234" s="19"/>
      <c r="N234" s="18"/>
    </row>
    <row r="235" spans="1:15" x14ac:dyDescent="0.35">
      <c r="A235" s="15">
        <v>45649</v>
      </c>
      <c r="B235" s="14" t="s">
        <v>156</v>
      </c>
      <c r="C235" s="22"/>
      <c r="D235" s="22" t="s">
        <v>57</v>
      </c>
      <c r="E235" s="23">
        <v>1</v>
      </c>
      <c r="F235" s="23">
        <v>1</v>
      </c>
      <c r="G235" s="23">
        <v>2</v>
      </c>
      <c r="H235" s="23">
        <v>4</v>
      </c>
      <c r="I235" s="23">
        <v>4</v>
      </c>
      <c r="J235" s="23">
        <v>3</v>
      </c>
      <c r="K235" s="23">
        <v>4</v>
      </c>
      <c r="L235" s="23">
        <v>4</v>
      </c>
      <c r="M235" s="23"/>
      <c r="N235" s="22"/>
    </row>
    <row r="236" spans="1:15" ht="15" thickBot="1" x14ac:dyDescent="0.4">
      <c r="A236" s="15">
        <v>45649</v>
      </c>
      <c r="B236" s="14" t="s">
        <v>156</v>
      </c>
      <c r="C236" s="26"/>
      <c r="D236" s="26" t="s">
        <v>58</v>
      </c>
      <c r="E236" s="27">
        <f>IF((E234/E235*5)=0,1,IF((E234/E235*5)&lt;=1,1,IF((E234/E235*5)&gt;=3,3,IF((E234/E235*5)=5,3,E234/E235*5))))</f>
        <v>1</v>
      </c>
      <c r="F236" s="27">
        <f>IF((F234/F235*5)=0,1,IF((F234/F235*5)&lt;=1,1,IF((F234/F235*5)&gt;=3,3,IF((F234/F235*5)=5,3,F234/F235*5))))</f>
        <v>1</v>
      </c>
      <c r="G236" s="27">
        <f>IF((G234/G235*5)=0,1,IF((G234/G235*5)&lt;=1,1,IF((G234/G235*5)&gt;=3,3,IF((G234/G235*5)=5,3,G234/G235*5))))</f>
        <v>1</v>
      </c>
      <c r="H236" s="27">
        <f>IF((H234/H235*5)=0,1,IF((H234/H235*5)&lt;=1,1,IF((H234/H235*5)&gt;=3,3,IF((H234/H235*5)=5,3,H234/H235*5))))</f>
        <v>1.375</v>
      </c>
      <c r="I236" s="27">
        <f>IF((I234/I235*5)=0,1,IF((I234/I235*5)&lt;=1,1,IF((I234/I235*5)&gt;=3,3,IF((I234/I235*5)=5,3,I234/I235*5))))</f>
        <v>1.625</v>
      </c>
      <c r="J236" s="27">
        <f t="shared" ref="J236:L236" si="80">IF((J234/J235*5)=0,1,IF((J234/J235*5)&lt;=1,1,IF((J234/J235*5)&gt;=3,3,IF((J234/J235*5)=5,3,J234/J235*5))))</f>
        <v>1.6666666666666665</v>
      </c>
      <c r="K236" s="27">
        <f t="shared" si="80"/>
        <v>1.5</v>
      </c>
      <c r="L236" s="27">
        <f t="shared" si="80"/>
        <v>1</v>
      </c>
      <c r="M236" s="27"/>
      <c r="N236" s="27">
        <f>AVERAGE(J236:L236)</f>
        <v>1.3888888888888886</v>
      </c>
      <c r="O236" s="34" t="s">
        <v>141</v>
      </c>
    </row>
    <row r="237" spans="1:15" ht="15" thickBot="1" x14ac:dyDescent="0.4"/>
    <row r="238" spans="1:15" x14ac:dyDescent="0.35">
      <c r="A238" s="15">
        <v>45650</v>
      </c>
      <c r="B238" s="14" t="s">
        <v>157</v>
      </c>
      <c r="C238" s="18"/>
      <c r="D238" s="30" t="s">
        <v>62</v>
      </c>
      <c r="E238" s="19">
        <v>0</v>
      </c>
      <c r="F238" s="19">
        <f>0</f>
        <v>0</v>
      </c>
      <c r="G238" s="19">
        <f>0+0</f>
        <v>0</v>
      </c>
      <c r="H238" s="19">
        <f>0+0.3+0.6+0.6</f>
        <v>1.5</v>
      </c>
      <c r="I238" s="19">
        <f>0.3+0.4+0.3+0.2</f>
        <v>1.2</v>
      </c>
      <c r="J238" s="19">
        <f>0.2+0.3+0.3</f>
        <v>0.8</v>
      </c>
      <c r="K238" s="19">
        <f>0.3+0.2+0.2+0.3</f>
        <v>1</v>
      </c>
      <c r="L238" s="19">
        <f>0+0+0+0</f>
        <v>0</v>
      </c>
      <c r="M238" s="19"/>
      <c r="N238" s="18"/>
    </row>
    <row r="239" spans="1:15" x14ac:dyDescent="0.35">
      <c r="A239" s="15">
        <v>45650</v>
      </c>
      <c r="B239" s="14" t="s">
        <v>157</v>
      </c>
      <c r="C239" s="22"/>
      <c r="D239" s="22" t="s">
        <v>57</v>
      </c>
      <c r="E239" s="23">
        <v>1</v>
      </c>
      <c r="F239" s="23">
        <v>1</v>
      </c>
      <c r="G239" s="23">
        <v>2</v>
      </c>
      <c r="H239" s="23">
        <v>4</v>
      </c>
      <c r="I239" s="23">
        <v>4</v>
      </c>
      <c r="J239" s="23">
        <v>3</v>
      </c>
      <c r="K239" s="23">
        <v>4</v>
      </c>
      <c r="L239" s="23">
        <v>4</v>
      </c>
      <c r="M239" s="23"/>
      <c r="N239" s="22"/>
    </row>
    <row r="240" spans="1:15" ht="15" thickBot="1" x14ac:dyDescent="0.4">
      <c r="A240" s="15">
        <v>45650</v>
      </c>
      <c r="B240" s="14" t="s">
        <v>157</v>
      </c>
      <c r="C240" s="26"/>
      <c r="D240" s="26" t="s">
        <v>58</v>
      </c>
      <c r="E240" s="27">
        <f>IF((E238/E239*5)=0,1,IF((E238/E239*5)&lt;=1,1,IF((E238/E239*5)&gt;=3,3,IF((E238/E239*5)=5,3,E238/E239*5))))</f>
        <v>1</v>
      </c>
      <c r="F240" s="27">
        <f>IF((F238/F239*5)=0,1,IF((F238/F239*5)&lt;=1,1,IF((F238/F239*5)&gt;=3,3,IF((F238/F239*5)=5,3,F238/F239*5))))</f>
        <v>1</v>
      </c>
      <c r="G240" s="27">
        <f>IF((G238/G239*5)=0,1,IF((G238/G239*5)&lt;=1,1,IF((G238/G239*5)&gt;=3,3,IF((G238/G239*5)=5,3,G238/G239*5))))</f>
        <v>1</v>
      </c>
      <c r="H240" s="27">
        <f>IF((H238/H239*5)=0,1,IF((H238/H239*5)&lt;=1,1,IF((H238/H239*5)&gt;=3,3,IF((H238/H239*5)=5,3,H238/H239*5))))</f>
        <v>1.875</v>
      </c>
      <c r="I240" s="27">
        <f>IF((I238/I239*5)=0,1,IF((I238/I239*5)&lt;=1,1,IF((I238/I239*5)&gt;=3,3,IF((I238/I239*5)=5,3,I238/I239*5))))</f>
        <v>1.5</v>
      </c>
      <c r="J240" s="27">
        <f t="shared" ref="J240:L240" si="81">IF((J238/J239*5)=0,1,IF((J238/J239*5)&lt;=1,1,IF((J238/J239*5)&gt;=3,3,IF((J238/J239*5)=5,3,J238/J239*5))))</f>
        <v>1.3333333333333333</v>
      </c>
      <c r="K240" s="27">
        <f t="shared" si="81"/>
        <v>1.25</v>
      </c>
      <c r="L240" s="27">
        <f t="shared" si="81"/>
        <v>1</v>
      </c>
      <c r="M240" s="27"/>
      <c r="N240" s="27">
        <f>AVERAGE(J240:L240)</f>
        <v>1.1944444444444444</v>
      </c>
      <c r="O240" s="34" t="s">
        <v>141</v>
      </c>
    </row>
    <row r="241" spans="1:15" ht="15" thickBot="1" x14ac:dyDescent="0.4"/>
    <row r="242" spans="1:15" x14ac:dyDescent="0.35">
      <c r="A242" s="15">
        <v>45651</v>
      </c>
      <c r="B242" s="14" t="s">
        <v>158</v>
      </c>
      <c r="C242" s="18"/>
      <c r="D242" s="30" t="s">
        <v>62</v>
      </c>
      <c r="E242" s="19">
        <v>1</v>
      </c>
      <c r="F242" s="19">
        <v>1</v>
      </c>
      <c r="G242" s="19">
        <f>1+0.5</f>
        <v>1.5</v>
      </c>
      <c r="H242" s="19">
        <f>0+0.3+0+0.3</f>
        <v>0.6</v>
      </c>
      <c r="I242" s="19">
        <f>0.5+0.7+0.6+0.8</f>
        <v>2.5999999999999996</v>
      </c>
      <c r="J242" s="19">
        <f>0.5+0.6+0.6</f>
        <v>1.7000000000000002</v>
      </c>
      <c r="K242" s="19">
        <f>0.3+0.5+0.5+0.3</f>
        <v>1.6</v>
      </c>
      <c r="L242" s="19">
        <f>0+0+1+1</f>
        <v>2</v>
      </c>
      <c r="M242" s="19"/>
      <c r="N242" s="18"/>
    </row>
    <row r="243" spans="1:15" x14ac:dyDescent="0.35">
      <c r="A243" s="15">
        <v>45651</v>
      </c>
      <c r="B243" s="14" t="s">
        <v>158</v>
      </c>
      <c r="C243" s="22"/>
      <c r="D243" s="22" t="s">
        <v>57</v>
      </c>
      <c r="E243" s="23">
        <v>1</v>
      </c>
      <c r="F243" s="23">
        <v>1</v>
      </c>
      <c r="G243" s="23">
        <v>2</v>
      </c>
      <c r="H243" s="23">
        <v>4</v>
      </c>
      <c r="I243" s="23">
        <v>4</v>
      </c>
      <c r="J243" s="23">
        <v>3</v>
      </c>
      <c r="K243" s="23">
        <v>4</v>
      </c>
      <c r="L243" s="23">
        <v>4</v>
      </c>
      <c r="M243" s="23"/>
      <c r="N243" s="22"/>
    </row>
    <row r="244" spans="1:15" ht="15" thickBot="1" x14ac:dyDescent="0.4">
      <c r="A244" s="15">
        <v>45651</v>
      </c>
      <c r="B244" s="14" t="s">
        <v>158</v>
      </c>
      <c r="C244" s="26"/>
      <c r="D244" s="26" t="s">
        <v>58</v>
      </c>
      <c r="E244" s="27">
        <f>IF((E242/E243*5)=0,1,IF((E242/E243*5)&lt;=1,1,IF((E242/E243*5)&gt;=3,3,IF((E242/E243*5)=5,3,E242/E243*5))))</f>
        <v>3</v>
      </c>
      <c r="F244" s="27">
        <f>IF((F242/F243*5)=0,1,IF((F242/F243*5)&lt;=1,1,IF((F242/F243*5)&gt;=3,3,IF((F242/F243*5)=5,3,F242/F243*5))))</f>
        <v>3</v>
      </c>
      <c r="G244" s="27">
        <f>IF((G242/G243*5)=0,1,IF((G242/G243*5)&lt;=1,1,IF((G242/G243*5)&gt;=3,3,IF((G242/G243*5)=5,3,G242/G243*5))))</f>
        <v>3</v>
      </c>
      <c r="H244" s="27">
        <f>IF((H242/H243*5)=0,1,IF((H242/H243*5)&lt;=1,1,IF((H242/H243*5)&gt;=3,3,IF((H242/H243*5)=5,3,H242/H243*5))))</f>
        <v>1</v>
      </c>
      <c r="I244" s="27">
        <f>IF((I242/I243*5)=0,1,IF((I242/I243*5)&lt;=1,1,IF((I242/I243*5)&gt;=3,3,IF((I242/I243*5)=5,3,I242/I243*5))))</f>
        <v>3</v>
      </c>
      <c r="J244" s="27">
        <f t="shared" ref="J244:L244" si="82">IF((J242/J243*5)=0,1,IF((J242/J243*5)&lt;=1,1,IF((J242/J243*5)&gt;=3,3,IF((J242/J243*5)=5,3,J242/J243*5))))</f>
        <v>2.8333333333333339</v>
      </c>
      <c r="K244" s="27">
        <f t="shared" si="82"/>
        <v>2</v>
      </c>
      <c r="L244" s="27">
        <f t="shared" si="82"/>
        <v>2.5</v>
      </c>
      <c r="M244" s="27"/>
      <c r="N244" s="27">
        <f>AVERAGE(J244:L244)</f>
        <v>2.4444444444444446</v>
      </c>
      <c r="O244" s="34" t="s">
        <v>159</v>
      </c>
    </row>
    <row r="245" spans="1:15" ht="15" thickBot="1" x14ac:dyDescent="0.4"/>
    <row r="246" spans="1:15" x14ac:dyDescent="0.35">
      <c r="A246" s="15">
        <v>45657</v>
      </c>
      <c r="B246" s="14" t="s">
        <v>160</v>
      </c>
      <c r="C246" s="18"/>
      <c r="D246" s="30" t="s">
        <v>62</v>
      </c>
      <c r="E246" s="19">
        <v>0</v>
      </c>
      <c r="F246" s="19">
        <v>0</v>
      </c>
      <c r="G246" s="19">
        <f>0+0.5</f>
        <v>0.5</v>
      </c>
      <c r="H246" s="19">
        <f>0+0.3+0+0.1</f>
        <v>0.4</v>
      </c>
      <c r="I246" s="19">
        <f>0.5+0.7+0.4+0.4</f>
        <v>2</v>
      </c>
      <c r="J246" s="19">
        <f>0.3+0.3+0.2</f>
        <v>0.8</v>
      </c>
      <c r="K246" s="19">
        <f>0.2+0.2+0.3+0.7</f>
        <v>1.4</v>
      </c>
      <c r="L246" s="19">
        <f>0+0.5+1+1</f>
        <v>2.5</v>
      </c>
      <c r="M246" s="19"/>
      <c r="N246" s="18"/>
    </row>
    <row r="247" spans="1:15" x14ac:dyDescent="0.35">
      <c r="A247" s="15">
        <v>45657</v>
      </c>
      <c r="B247" s="14" t="s">
        <v>160</v>
      </c>
      <c r="C247" s="22"/>
      <c r="D247" s="22" t="s">
        <v>57</v>
      </c>
      <c r="E247" s="23">
        <v>1</v>
      </c>
      <c r="F247" s="23">
        <v>1</v>
      </c>
      <c r="G247" s="23">
        <v>2</v>
      </c>
      <c r="H247" s="23">
        <v>4</v>
      </c>
      <c r="I247" s="23">
        <v>4</v>
      </c>
      <c r="J247" s="23">
        <v>3</v>
      </c>
      <c r="K247" s="23">
        <v>4</v>
      </c>
      <c r="L247" s="23">
        <v>4</v>
      </c>
      <c r="M247" s="23"/>
      <c r="N247" s="22"/>
    </row>
    <row r="248" spans="1:15" ht="15" thickBot="1" x14ac:dyDescent="0.4">
      <c r="A248" s="15">
        <v>45657</v>
      </c>
      <c r="B248" s="14" t="s">
        <v>160</v>
      </c>
      <c r="C248" s="26"/>
      <c r="D248" s="26" t="s">
        <v>58</v>
      </c>
      <c r="E248" s="27">
        <f>IF((E246/E247*5)=0,1,IF((E246/E247*5)&lt;=1,1,IF((E246/E247*5)&gt;=3,3,IF((E246/E247*5)=5,3,E246/E247*5))))</f>
        <v>1</v>
      </c>
      <c r="F248" s="27">
        <f>IF((F246/F247*5)=0,1,IF((F246/F247*5)&lt;=1,1,IF((F246/F247*5)&gt;=3,3,IF((F246/F247*5)=5,3,F246/F247*5))))</f>
        <v>1</v>
      </c>
      <c r="G248" s="27">
        <f>IF((G246/G247*5)=0,1,IF((G246/G247*5)&lt;=1,1,IF((G246/G247*5)&gt;=3,3,IF((G246/G247*5)=5,3,G246/G247*5))))</f>
        <v>1.25</v>
      </c>
      <c r="H248" s="27">
        <f>IF((H246/H247*5)=0,1,IF((H246/H247*5)&lt;=1,1,IF((H246/H247*5)&gt;=3,3,IF((H246/H247*5)=5,3,H246/H247*5))))</f>
        <v>1</v>
      </c>
      <c r="I248" s="27">
        <f>IF((I246/I247*5)=0,1,IF((I246/I247*5)&lt;=1,1,IF((I246/I247*5)&gt;=3,3,IF((I246/I247*5)=5,3,I246/I247*5))))</f>
        <v>2.5</v>
      </c>
      <c r="J248" s="27">
        <f t="shared" ref="J248:L248" si="83">IF((J246/J247*5)=0,1,IF((J246/J247*5)&lt;=1,1,IF((J246/J247*5)&gt;=3,3,IF((J246/J247*5)=5,3,J246/J247*5))))</f>
        <v>1.3333333333333333</v>
      </c>
      <c r="K248" s="27">
        <f t="shared" si="83"/>
        <v>1.75</v>
      </c>
      <c r="L248" s="27">
        <f t="shared" si="83"/>
        <v>3</v>
      </c>
      <c r="M248" s="27"/>
      <c r="N248" s="27">
        <f>AVERAGE(J248:L248)</f>
        <v>2.0277777777777777</v>
      </c>
      <c r="O248" s="34" t="s">
        <v>141</v>
      </c>
    </row>
    <row r="249" spans="1:15" ht="15" thickBot="1" x14ac:dyDescent="0.4"/>
    <row r="250" spans="1:15" x14ac:dyDescent="0.35">
      <c r="A250" s="15">
        <v>45673</v>
      </c>
      <c r="B250" s="14" t="s">
        <v>161</v>
      </c>
      <c r="C250" s="18"/>
      <c r="D250" s="30" t="s">
        <v>62</v>
      </c>
      <c r="E250" s="19">
        <v>0</v>
      </c>
      <c r="F250" s="19">
        <v>0</v>
      </c>
      <c r="G250" s="19">
        <f>0+0</f>
        <v>0</v>
      </c>
      <c r="H250" s="19">
        <f>0+0.3+0+0.1</f>
        <v>0.4</v>
      </c>
      <c r="I250" s="19">
        <f>0.3+0.4+0.1+0.1</f>
        <v>0.89999999999999991</v>
      </c>
      <c r="J250" s="19">
        <f>1+0.4+0.5</f>
        <v>1.9</v>
      </c>
      <c r="K250" s="19">
        <f>0.2+0.2+0.3+0.2</f>
        <v>0.89999999999999991</v>
      </c>
      <c r="L250" s="19">
        <f>0+0.5+0+0.5</f>
        <v>1</v>
      </c>
      <c r="M250" s="19"/>
      <c r="N250" s="18"/>
    </row>
    <row r="251" spans="1:15" x14ac:dyDescent="0.35">
      <c r="A251" s="15">
        <v>45673</v>
      </c>
      <c r="B251" s="14" t="s">
        <v>161</v>
      </c>
      <c r="C251" s="22"/>
      <c r="D251" s="22" t="s">
        <v>57</v>
      </c>
      <c r="E251" s="23">
        <v>1</v>
      </c>
      <c r="F251" s="23">
        <v>1</v>
      </c>
      <c r="G251" s="23">
        <v>2</v>
      </c>
      <c r="H251" s="23">
        <v>4</v>
      </c>
      <c r="I251" s="23">
        <v>4</v>
      </c>
      <c r="J251" s="23">
        <v>3</v>
      </c>
      <c r="K251" s="23">
        <v>4</v>
      </c>
      <c r="L251" s="23">
        <v>4</v>
      </c>
      <c r="M251" s="23"/>
      <c r="N251" s="22"/>
    </row>
    <row r="252" spans="1:15" ht="15" thickBot="1" x14ac:dyDescent="0.4">
      <c r="A252" s="15">
        <v>45673</v>
      </c>
      <c r="B252" s="14" t="s">
        <v>161</v>
      </c>
      <c r="C252" s="26"/>
      <c r="D252" s="26" t="s">
        <v>58</v>
      </c>
      <c r="E252" s="27">
        <f>IF((E250/E251*5)=0,1,IF((E250/E251*5)&lt;=1,1,IF((E250/E251*5)&gt;=3,3,IF((E250/E251*5)=5,3,E250/E251*5))))</f>
        <v>1</v>
      </c>
      <c r="F252" s="27">
        <f>IF((F250/F251*5)=0,1,IF((F250/F251*5)&lt;=1,1,IF((F250/F251*5)&gt;=3,3,IF((F250/F251*5)=5,3,F250/F251*5))))</f>
        <v>1</v>
      </c>
      <c r="G252" s="27">
        <f>IF((G250/G251*5)=0,1,IF((G250/G251*5)&lt;=1,1,IF((G250/G251*5)&gt;=3,3,IF((G250/G251*5)=5,3,G250/G251*5))))</f>
        <v>1</v>
      </c>
      <c r="H252" s="27">
        <f>IF((H250/H251*5)=0,1,IF((H250/H251*5)&lt;=1,1,IF((H250/H251*5)&gt;=3,3,IF((H250/H251*5)=5,3,H250/H251*5))))</f>
        <v>1</v>
      </c>
      <c r="I252" s="27">
        <f>IF((I250/I251*5)=0,1,IF((I250/I251*5)&lt;=1,1,IF((I250/I251*5)&gt;=3,3,IF((I250/I251*5)=5,3,I250/I251*5))))</f>
        <v>1.125</v>
      </c>
      <c r="J252" s="27">
        <f t="shared" ref="J252:L252" si="84">IF((J250/J251*5)=0,1,IF((J250/J251*5)&lt;=1,1,IF((J250/J251*5)&gt;=3,3,IF((J250/J251*5)=5,3,J250/J251*5))))</f>
        <v>3</v>
      </c>
      <c r="K252" s="27">
        <f t="shared" si="84"/>
        <v>1.125</v>
      </c>
      <c r="L252" s="27">
        <f t="shared" si="84"/>
        <v>1.25</v>
      </c>
      <c r="M252" s="27"/>
      <c r="N252" s="27">
        <f>AVERAGE(J252:L252)</f>
        <v>1.7916666666666667</v>
      </c>
      <c r="O252" s="34" t="s">
        <v>141</v>
      </c>
    </row>
    <row r="253" spans="1:15" ht="15" thickBot="1" x14ac:dyDescent="0.4"/>
    <row r="254" spans="1:15" x14ac:dyDescent="0.35">
      <c r="A254" s="15">
        <v>45678</v>
      </c>
      <c r="B254" s="14" t="s">
        <v>162</v>
      </c>
      <c r="C254" s="18"/>
      <c r="D254" s="30" t="s">
        <v>62</v>
      </c>
      <c r="E254" s="19">
        <v>0</v>
      </c>
      <c r="F254" s="19">
        <v>0</v>
      </c>
      <c r="G254" s="19">
        <f>0+0</f>
        <v>0</v>
      </c>
      <c r="H254" s="19">
        <f>0+0+0.2+0</f>
        <v>0.2</v>
      </c>
      <c r="I254" s="19">
        <f>0.1+0.2+0.1+0.1</f>
        <v>0.5</v>
      </c>
      <c r="J254" s="19">
        <f>0+0.4+0.2</f>
        <v>0.60000000000000009</v>
      </c>
      <c r="K254" s="19">
        <f>0.3+0.2+0.2+0</f>
        <v>0.7</v>
      </c>
      <c r="L254" s="19">
        <f>0+0+0+0.5</f>
        <v>0.5</v>
      </c>
      <c r="M254" s="19"/>
      <c r="N254" s="18"/>
    </row>
    <row r="255" spans="1:15" x14ac:dyDescent="0.35">
      <c r="A255" s="15">
        <v>45678</v>
      </c>
      <c r="B255" s="14" t="s">
        <v>162</v>
      </c>
      <c r="C255" s="22"/>
      <c r="D255" s="22" t="s">
        <v>57</v>
      </c>
      <c r="E255" s="23">
        <v>1</v>
      </c>
      <c r="F255" s="23">
        <v>1</v>
      </c>
      <c r="G255" s="23">
        <v>2</v>
      </c>
      <c r="H255" s="23">
        <v>4</v>
      </c>
      <c r="I255" s="23">
        <v>4</v>
      </c>
      <c r="J255" s="23">
        <v>3</v>
      </c>
      <c r="K255" s="23">
        <v>4</v>
      </c>
      <c r="L255" s="23">
        <v>4</v>
      </c>
      <c r="M255" s="23"/>
      <c r="N255" s="22"/>
    </row>
    <row r="256" spans="1:15" ht="15" thickBot="1" x14ac:dyDescent="0.4">
      <c r="A256" s="15">
        <v>45678</v>
      </c>
      <c r="B256" s="14" t="s">
        <v>162</v>
      </c>
      <c r="C256" s="26"/>
      <c r="D256" s="26" t="s">
        <v>58</v>
      </c>
      <c r="E256" s="27">
        <f>IF((E254/E255*5)=0,1,IF((E254/E255*5)&lt;=1,1,IF((E254/E255*5)&gt;=3,3,IF((E254/E255*5)=5,3,E254/E255*5))))</f>
        <v>1</v>
      </c>
      <c r="F256" s="27">
        <f>IF((F254/F255*5)=0,1,IF((F254/F255*5)&lt;=1,1,IF((F254/F255*5)&gt;=3,3,IF((F254/F255*5)=5,3,F254/F255*5))))</f>
        <v>1</v>
      </c>
      <c r="G256" s="27">
        <f>IF((G254/G255*5)=0,1,IF((G254/G255*5)&lt;=1,1,IF((G254/G255*5)&gt;=3,3,IF((G254/G255*5)=5,3,G254/G255*5))))</f>
        <v>1</v>
      </c>
      <c r="H256" s="27">
        <f>IF((H254/H255*5)=0,1,IF((H254/H255*5)&lt;=1,1,IF((H254/H255*5)&gt;=3,3,IF((H254/H255*5)=5,3,H254/H255*5))))</f>
        <v>1</v>
      </c>
      <c r="I256" s="27">
        <f>IF((I254/I255*5)=0,1,IF((I254/I255*5)&lt;=1,1,IF((I254/I255*5)&gt;=3,3,IF((I254/I255*5)=5,3,I254/I255*5))))</f>
        <v>1</v>
      </c>
      <c r="J256" s="27">
        <f t="shared" ref="J256:L256" si="85">IF((J254/J255*5)=0,1,IF((J254/J255*5)&lt;=1,1,IF((J254/J255*5)&gt;=3,3,IF((J254/J255*5)=5,3,J254/J255*5))))</f>
        <v>1</v>
      </c>
      <c r="K256" s="27">
        <f t="shared" si="85"/>
        <v>1</v>
      </c>
      <c r="L256" s="27">
        <f t="shared" si="85"/>
        <v>1</v>
      </c>
      <c r="M256" s="27"/>
      <c r="N256" s="27">
        <f>AVERAGE(J256:L256)</f>
        <v>1</v>
      </c>
      <c r="O256" s="34" t="s">
        <v>141</v>
      </c>
    </row>
    <row r="257" spans="1:15" ht="15" thickBot="1" x14ac:dyDescent="0.4"/>
    <row r="258" spans="1:15" x14ac:dyDescent="0.35">
      <c r="A258" s="15">
        <v>45680</v>
      </c>
      <c r="B258" s="14" t="s">
        <v>163</v>
      </c>
      <c r="C258" s="18"/>
      <c r="D258" s="30" t="s">
        <v>62</v>
      </c>
      <c r="E258" s="19">
        <v>0</v>
      </c>
      <c r="F258" s="19">
        <v>0</v>
      </c>
      <c r="G258" s="19">
        <f>0+0</f>
        <v>0</v>
      </c>
      <c r="H258" s="19">
        <f>0+0.5+0+0</f>
        <v>0.5</v>
      </c>
      <c r="I258" s="19">
        <f>0.1+0.2+0.1+0.1</f>
        <v>0.5</v>
      </c>
      <c r="J258" s="19">
        <f>0+0+0</f>
        <v>0</v>
      </c>
      <c r="K258" s="19">
        <f>0+0+0.2+0</f>
        <v>0.2</v>
      </c>
      <c r="L258" s="19">
        <f>0+0+0+0.5</f>
        <v>0.5</v>
      </c>
      <c r="M258" s="19"/>
      <c r="N258" s="18"/>
    </row>
    <row r="259" spans="1:15" x14ac:dyDescent="0.35">
      <c r="A259" s="15">
        <v>45680</v>
      </c>
      <c r="B259" s="14" t="s">
        <v>163</v>
      </c>
      <c r="C259" s="22"/>
      <c r="D259" s="22" t="s">
        <v>57</v>
      </c>
      <c r="E259" s="23">
        <v>1</v>
      </c>
      <c r="F259" s="23">
        <v>1</v>
      </c>
      <c r="G259" s="23">
        <v>2</v>
      </c>
      <c r="H259" s="23">
        <v>4</v>
      </c>
      <c r="I259" s="23">
        <v>4</v>
      </c>
      <c r="J259" s="23">
        <v>3</v>
      </c>
      <c r="K259" s="23">
        <v>4</v>
      </c>
      <c r="L259" s="23">
        <v>4</v>
      </c>
      <c r="M259" s="23"/>
      <c r="N259" s="22"/>
    </row>
    <row r="260" spans="1:15" ht="15" thickBot="1" x14ac:dyDescent="0.4">
      <c r="A260" s="15">
        <v>45680</v>
      </c>
      <c r="B260" s="14" t="s">
        <v>163</v>
      </c>
      <c r="C260" s="26"/>
      <c r="D260" s="26" t="s">
        <v>58</v>
      </c>
      <c r="E260" s="27">
        <f>IF((E258/E259*5)=0,1,IF((E258/E259*5)&lt;=1,1,IF((E258/E259*5)&gt;=3,3,IF((E258/E259*5)=5,3,E258/E259*5))))</f>
        <v>1</v>
      </c>
      <c r="F260" s="27">
        <f>IF((F258/F259*5)=0,1,IF((F258/F259*5)&lt;=1,1,IF((F258/F259*5)&gt;=3,3,IF((F258/F259*5)=5,3,F258/F259*5))))</f>
        <v>1</v>
      </c>
      <c r="G260" s="27">
        <f>IF((G258/G259*5)=0,1,IF((G258/G259*5)&lt;=1,1,IF((G258/G259*5)&gt;=3,3,IF((G258/G259*5)=5,3,G258/G259*5))))</f>
        <v>1</v>
      </c>
      <c r="H260" s="27">
        <f>IF((H258/H259*5)=0,1,IF((H258/H259*5)&lt;=1,1,IF((H258/H259*5)&gt;=3,3,IF((H258/H259*5)=5,3,H258/H259*5))))</f>
        <v>1</v>
      </c>
      <c r="I260" s="27">
        <f>IF((I258/I259*5)=0,1,IF((I258/I259*5)&lt;=1,1,IF((I258/I259*5)&gt;=3,3,IF((I258/I259*5)=5,3,I258/I259*5))))</f>
        <v>1</v>
      </c>
      <c r="J260" s="27">
        <f t="shared" ref="J260:L260" si="86">IF((J258/J259*5)=0,1,IF((J258/J259*5)&lt;=1,1,IF((J258/J259*5)&gt;=3,3,IF((J258/J259*5)=5,3,J258/J259*5))))</f>
        <v>1</v>
      </c>
      <c r="K260" s="27">
        <f t="shared" si="86"/>
        <v>1</v>
      </c>
      <c r="L260" s="27">
        <f t="shared" si="86"/>
        <v>1</v>
      </c>
      <c r="M260" s="27"/>
      <c r="N260" s="27">
        <f>AVERAGE(J260:L260)</f>
        <v>1</v>
      </c>
      <c r="O260" s="34" t="s">
        <v>141</v>
      </c>
    </row>
    <row r="261" spans="1:15" ht="15" thickBot="1" x14ac:dyDescent="0.4"/>
    <row r="262" spans="1:15" x14ac:dyDescent="0.35">
      <c r="A262" s="15">
        <v>45681</v>
      </c>
      <c r="B262" s="14" t="s">
        <v>164</v>
      </c>
      <c r="C262" s="18"/>
      <c r="D262" s="30" t="s">
        <v>62</v>
      </c>
      <c r="E262" s="19">
        <v>0</v>
      </c>
      <c r="F262" s="19">
        <v>0</v>
      </c>
      <c r="G262" s="19">
        <f>0+0</f>
        <v>0</v>
      </c>
      <c r="H262" s="19">
        <f>0+0.5+0+0</f>
        <v>0.5</v>
      </c>
      <c r="I262" s="19">
        <f>0.1+0.2+0.1+0.1</f>
        <v>0.5</v>
      </c>
      <c r="J262" s="19">
        <f>0+0+0</f>
        <v>0</v>
      </c>
      <c r="K262" s="19">
        <f>0+0+0.2+0</f>
        <v>0.2</v>
      </c>
      <c r="L262" s="19">
        <f>0+0+0+0.5</f>
        <v>0.5</v>
      </c>
      <c r="M262" s="19"/>
      <c r="N262" s="18"/>
    </row>
    <row r="263" spans="1:15" x14ac:dyDescent="0.35">
      <c r="A263" s="15">
        <v>45681</v>
      </c>
      <c r="B263" s="14" t="s">
        <v>164</v>
      </c>
      <c r="C263" s="22"/>
      <c r="D263" s="22" t="s">
        <v>57</v>
      </c>
      <c r="E263" s="23">
        <v>1</v>
      </c>
      <c r="F263" s="23">
        <v>1</v>
      </c>
      <c r="G263" s="23">
        <v>2</v>
      </c>
      <c r="H263" s="23">
        <v>4</v>
      </c>
      <c r="I263" s="23">
        <v>4</v>
      </c>
      <c r="J263" s="23">
        <v>3</v>
      </c>
      <c r="K263" s="23">
        <v>4</v>
      </c>
      <c r="L263" s="23">
        <v>4</v>
      </c>
      <c r="M263" s="23"/>
      <c r="N263" s="22"/>
    </row>
    <row r="264" spans="1:15" ht="15" thickBot="1" x14ac:dyDescent="0.4">
      <c r="A264" s="15">
        <v>45681</v>
      </c>
      <c r="B264" s="14" t="s">
        <v>164</v>
      </c>
      <c r="C264" s="26"/>
      <c r="D264" s="26" t="s">
        <v>58</v>
      </c>
      <c r="E264" s="27">
        <f>IF((E262/E263*5)=0,1,IF((E262/E263*5)&lt;=1,1,IF((E262/E263*5)&gt;=3,3,IF((E262/E263*5)=5,3,E262/E263*5))))</f>
        <v>1</v>
      </c>
      <c r="F264" s="27">
        <f>IF((F262/F263*5)=0,1,IF((F262/F263*5)&lt;=1,1,IF((F262/F263*5)&gt;=3,3,IF((F262/F263*5)=5,3,F262/F263*5))))</f>
        <v>1</v>
      </c>
      <c r="G264" s="27">
        <f>IF((G262/G263*5)=0,1,IF((G262/G263*5)&lt;=1,1,IF((G262/G263*5)&gt;=3,3,IF((G262/G263*5)=5,3,G262/G263*5))))</f>
        <v>1</v>
      </c>
      <c r="H264" s="27">
        <f>IF((H262/H263*5)=0,1,IF((H262/H263*5)&lt;=1,1,IF((H262/H263*5)&gt;=3,3,IF((H262/H263*5)=5,3,H262/H263*5))))</f>
        <v>1</v>
      </c>
      <c r="I264" s="27">
        <f>IF((I262/I263*5)=0,1,IF((I262/I263*5)&lt;=1,1,IF((I262/I263*5)&gt;=3,3,IF((I262/I263*5)=5,3,I262/I263*5))))</f>
        <v>1</v>
      </c>
      <c r="J264" s="27">
        <f t="shared" ref="J264:L264" si="87">IF((J262/J263*5)=0,1,IF((J262/J263*5)&lt;=1,1,IF((J262/J263*5)&gt;=3,3,IF((J262/J263*5)=5,3,J262/J263*5))))</f>
        <v>1</v>
      </c>
      <c r="K264" s="27">
        <f t="shared" si="87"/>
        <v>1</v>
      </c>
      <c r="L264" s="27">
        <f t="shared" si="87"/>
        <v>1</v>
      </c>
      <c r="M264" s="27"/>
      <c r="N264" s="27">
        <f>AVERAGE(J264:L264)</f>
        <v>1</v>
      </c>
      <c r="O264" s="34" t="s">
        <v>141</v>
      </c>
    </row>
    <row r="265" spans="1:15" ht="15" thickBot="1" x14ac:dyDescent="0.4"/>
    <row r="266" spans="1:15" x14ac:dyDescent="0.35">
      <c r="A266" s="15">
        <v>45684</v>
      </c>
      <c r="B266" s="14" t="s">
        <v>165</v>
      </c>
      <c r="C266" s="18"/>
      <c r="D266" s="30" t="s">
        <v>62</v>
      </c>
      <c r="E266" s="19">
        <v>0</v>
      </c>
      <c r="F266" s="19">
        <v>0</v>
      </c>
      <c r="G266" s="19">
        <f>0+0</f>
        <v>0</v>
      </c>
      <c r="H266" s="19">
        <f>0+0+0+0</f>
        <v>0</v>
      </c>
      <c r="I266" s="19">
        <f>0.1+0.2+0.1+0.1</f>
        <v>0.5</v>
      </c>
      <c r="J266" s="19">
        <f>0.5+0+0</f>
        <v>0.5</v>
      </c>
      <c r="K266" s="19">
        <f>0+0+0.2+0</f>
        <v>0.2</v>
      </c>
      <c r="L266" s="19">
        <f>0+0+0+0</f>
        <v>0</v>
      </c>
      <c r="M266" s="19"/>
      <c r="N266" s="18"/>
    </row>
    <row r="267" spans="1:15" x14ac:dyDescent="0.35">
      <c r="A267" s="15">
        <v>45684</v>
      </c>
      <c r="B267" s="14" t="s">
        <v>165</v>
      </c>
      <c r="C267" s="22"/>
      <c r="D267" s="22" t="s">
        <v>57</v>
      </c>
      <c r="E267" s="23">
        <v>1</v>
      </c>
      <c r="F267" s="23">
        <v>1</v>
      </c>
      <c r="G267" s="23">
        <v>2</v>
      </c>
      <c r="H267" s="23">
        <v>4</v>
      </c>
      <c r="I267" s="23">
        <v>4</v>
      </c>
      <c r="J267" s="23">
        <v>3</v>
      </c>
      <c r="K267" s="23">
        <v>4</v>
      </c>
      <c r="L267" s="23">
        <v>4</v>
      </c>
      <c r="M267" s="23"/>
      <c r="N267" s="22"/>
    </row>
    <row r="268" spans="1:15" ht="15" thickBot="1" x14ac:dyDescent="0.4">
      <c r="A268" s="15">
        <v>45684</v>
      </c>
      <c r="B268" s="14" t="s">
        <v>165</v>
      </c>
      <c r="C268" s="26"/>
      <c r="D268" s="26" t="s">
        <v>58</v>
      </c>
      <c r="E268" s="27">
        <f>IF((E266/E267*5)=0,1,IF((E266/E267*5)&lt;=1,1,IF((E266/E267*5)&gt;=3,3,IF((E266/E267*5)=5,3,E266/E267*5))))</f>
        <v>1</v>
      </c>
      <c r="F268" s="27">
        <f>IF((F266/F267*5)=0,1,IF((F266/F267*5)&lt;=1,1,IF((F266/F267*5)&gt;=3,3,IF((F266/F267*5)=5,3,F266/F267*5))))</f>
        <v>1</v>
      </c>
      <c r="G268" s="27">
        <f>IF((G266/G267*5)=0,1,IF((G266/G267*5)&lt;=1,1,IF((G266/G267*5)&gt;=3,3,IF((G266/G267*5)=5,3,G266/G267*5))))</f>
        <v>1</v>
      </c>
      <c r="H268" s="27">
        <f>IF((H266/H267*5)=0,1,IF((H266/H267*5)&lt;=1,1,IF((H266/H267*5)&gt;=3,3,IF((H266/H267*5)=5,3,H266/H267*5))))</f>
        <v>1</v>
      </c>
      <c r="I268" s="27">
        <f>IF((I266/I267*5)=0,1,IF((I266/I267*5)&lt;=1,1,IF((I266/I267*5)&gt;=3,3,IF((I266/I267*5)=5,3,I266/I267*5))))</f>
        <v>1</v>
      </c>
      <c r="J268" s="27">
        <f t="shared" ref="J268:L268" si="88">IF((J266/J267*5)=0,1,IF((J266/J267*5)&lt;=1,1,IF((J266/J267*5)&gt;=3,3,IF((J266/J267*5)=5,3,J266/J267*5))))</f>
        <v>1</v>
      </c>
      <c r="K268" s="27">
        <f t="shared" si="88"/>
        <v>1</v>
      </c>
      <c r="L268" s="27">
        <f t="shared" si="88"/>
        <v>1</v>
      </c>
      <c r="M268" s="27"/>
      <c r="N268" s="27">
        <f>AVERAGE(J268:L268)</f>
        <v>1</v>
      </c>
      <c r="O268" s="34" t="s">
        <v>141</v>
      </c>
    </row>
    <row r="269" spans="1:15" ht="15" thickBot="1" x14ac:dyDescent="0.4"/>
    <row r="270" spans="1:15" x14ac:dyDescent="0.35">
      <c r="A270" s="15">
        <v>45684</v>
      </c>
      <c r="B270" s="14" t="s">
        <v>166</v>
      </c>
      <c r="C270" s="18"/>
      <c r="D270" s="30" t="s">
        <v>62</v>
      </c>
      <c r="E270" s="19">
        <v>0.1</v>
      </c>
      <c r="F270" s="19">
        <v>0</v>
      </c>
      <c r="G270" s="19">
        <f>0+0</f>
        <v>0</v>
      </c>
      <c r="H270" s="19">
        <f>0.5+0.1+0.5+0.3</f>
        <v>1.4000000000000001</v>
      </c>
      <c r="I270" s="19">
        <f>0.1+0.2+0.1+0.1</f>
        <v>0.5</v>
      </c>
      <c r="J270" s="19">
        <f>0.2+0+0.4</f>
        <v>0.60000000000000009</v>
      </c>
      <c r="K270" s="19">
        <f>0+0+0+0.3</f>
        <v>0.3</v>
      </c>
      <c r="L270" s="19">
        <f>0+0+0+0</f>
        <v>0</v>
      </c>
      <c r="M270" s="19"/>
      <c r="N270" s="18"/>
    </row>
    <row r="271" spans="1:15" x14ac:dyDescent="0.35">
      <c r="A271" s="15">
        <v>45684</v>
      </c>
      <c r="B271" s="14" t="s">
        <v>166</v>
      </c>
      <c r="C271" s="22"/>
      <c r="D271" s="22" t="s">
        <v>57</v>
      </c>
      <c r="E271" s="23">
        <v>1</v>
      </c>
      <c r="F271" s="23">
        <v>1</v>
      </c>
      <c r="G271" s="23">
        <v>2</v>
      </c>
      <c r="H271" s="23">
        <v>4</v>
      </c>
      <c r="I271" s="23">
        <v>4</v>
      </c>
      <c r="J271" s="23">
        <v>3</v>
      </c>
      <c r="K271" s="23">
        <v>4</v>
      </c>
      <c r="L271" s="23">
        <v>4</v>
      </c>
      <c r="M271" s="23"/>
      <c r="N271" s="22"/>
    </row>
    <row r="272" spans="1:15" ht="15" thickBot="1" x14ac:dyDescent="0.4">
      <c r="A272" s="15">
        <v>45684</v>
      </c>
      <c r="B272" s="14" t="s">
        <v>166</v>
      </c>
      <c r="C272" s="26"/>
      <c r="D272" s="26" t="s">
        <v>58</v>
      </c>
      <c r="E272" s="27">
        <f>IF((E270/E271*5)=0,1,IF((E270/E271*5)&lt;=1,1,IF((E270/E271*5)&gt;=3,3,IF((E270/E271*5)=5,3,E270/E271*5))))</f>
        <v>1</v>
      </c>
      <c r="F272" s="27">
        <f>IF((F270/F271*5)=0,1,IF((F270/F271*5)&lt;=1,1,IF((F270/F271*5)&gt;=3,3,IF((F270/F271*5)=5,3,F270/F271*5))))</f>
        <v>1</v>
      </c>
      <c r="G272" s="27">
        <f>IF((G270/G271*5)=0,1,IF((G270/G271*5)&lt;=1,1,IF((G270/G271*5)&gt;=3,3,IF((G270/G271*5)=5,3,G270/G271*5))))</f>
        <v>1</v>
      </c>
      <c r="H272" s="27">
        <f>IF((H270/H271*5)=0,1,IF((H270/H271*5)&lt;=1,1,IF((H270/H271*5)&gt;=3,3,IF((H270/H271*5)=5,3,H270/H271*5))))</f>
        <v>1.7500000000000002</v>
      </c>
      <c r="I272" s="27">
        <f>IF((I270/I271*5)=0,1,IF((I270/I271*5)&lt;=1,1,IF((I270/I271*5)&gt;=3,3,IF((I270/I271*5)=5,3,I270/I271*5))))</f>
        <v>1</v>
      </c>
      <c r="J272" s="27">
        <f t="shared" ref="J272:L272" si="89">IF((J270/J271*5)=0,1,IF((J270/J271*5)&lt;=1,1,IF((J270/J271*5)&gt;=3,3,IF((J270/J271*5)=5,3,J270/J271*5))))</f>
        <v>1</v>
      </c>
      <c r="K272" s="27">
        <f t="shared" si="89"/>
        <v>1</v>
      </c>
      <c r="L272" s="27">
        <f t="shared" si="89"/>
        <v>1</v>
      </c>
      <c r="M272" s="27"/>
      <c r="N272" s="27">
        <f>AVERAGE(J272:L272)</f>
        <v>1</v>
      </c>
      <c r="O272" s="34" t="s">
        <v>141</v>
      </c>
    </row>
    <row r="273" spans="1:15" ht="15" thickBot="1" x14ac:dyDescent="0.4"/>
    <row r="274" spans="1:15" x14ac:dyDescent="0.35">
      <c r="A274" s="15">
        <v>45684</v>
      </c>
      <c r="B274" s="14" t="s">
        <v>167</v>
      </c>
      <c r="C274" s="18"/>
      <c r="D274" s="30" t="s">
        <v>62</v>
      </c>
      <c r="E274" s="19">
        <v>0</v>
      </c>
      <c r="F274" s="19">
        <v>0</v>
      </c>
      <c r="G274" s="19">
        <f>0+0</f>
        <v>0</v>
      </c>
      <c r="H274" s="19">
        <f>0.1+0.1+0.2+0.2</f>
        <v>0.60000000000000009</v>
      </c>
      <c r="I274" s="19">
        <f>0.1+0.2+0.1+0.1</f>
        <v>0.5</v>
      </c>
      <c r="J274" s="19">
        <f>0.1+0.1+0.3</f>
        <v>0.5</v>
      </c>
      <c r="K274" s="19">
        <f>0+0+0+0.3</f>
        <v>0.3</v>
      </c>
      <c r="L274" s="19">
        <f>0+0+0+0</f>
        <v>0</v>
      </c>
      <c r="M274" s="19"/>
      <c r="N274" s="18"/>
    </row>
    <row r="275" spans="1:15" x14ac:dyDescent="0.35">
      <c r="A275" s="15">
        <v>45684</v>
      </c>
      <c r="B275" s="14" t="s">
        <v>167</v>
      </c>
      <c r="C275" s="22"/>
      <c r="D275" s="22" t="s">
        <v>57</v>
      </c>
      <c r="E275" s="23">
        <v>1</v>
      </c>
      <c r="F275" s="23">
        <v>1</v>
      </c>
      <c r="G275" s="23">
        <v>2</v>
      </c>
      <c r="H275" s="23">
        <v>4</v>
      </c>
      <c r="I275" s="23">
        <v>4</v>
      </c>
      <c r="J275" s="23">
        <v>3</v>
      </c>
      <c r="K275" s="23">
        <v>4</v>
      </c>
      <c r="L275" s="23">
        <v>4</v>
      </c>
      <c r="M275" s="23"/>
      <c r="N275" s="22"/>
    </row>
    <row r="276" spans="1:15" ht="15" thickBot="1" x14ac:dyDescent="0.4">
      <c r="A276" s="15">
        <v>45684</v>
      </c>
      <c r="B276" s="14" t="s">
        <v>167</v>
      </c>
      <c r="C276" s="26"/>
      <c r="D276" s="26" t="s">
        <v>58</v>
      </c>
      <c r="E276" s="27">
        <f>IF((E274/E275*5)=0,1,IF((E274/E275*5)&lt;=1,1,IF((E274/E275*5)&gt;=3,3,IF((E274/E275*5)=5,3,E274/E275*5))))</f>
        <v>1</v>
      </c>
      <c r="F276" s="27">
        <f>IF((F274/F275*5)=0,1,IF((F274/F275*5)&lt;=1,1,IF((F274/F275*5)&gt;=3,3,IF((F274/F275*5)=5,3,F274/F275*5))))</f>
        <v>1</v>
      </c>
      <c r="G276" s="27">
        <f>IF((G274/G275*5)=0,1,IF((G274/G275*5)&lt;=1,1,IF((G274/G275*5)&gt;=3,3,IF((G274/G275*5)=5,3,G274/G275*5))))</f>
        <v>1</v>
      </c>
      <c r="H276" s="27">
        <f>IF((H274/H275*5)=0,1,IF((H274/H275*5)&lt;=1,1,IF((H274/H275*5)&gt;=3,3,IF((H274/H275*5)=5,3,H274/H275*5))))</f>
        <v>1</v>
      </c>
      <c r="I276" s="27">
        <f>IF((I274/I275*5)=0,1,IF((I274/I275*5)&lt;=1,1,IF((I274/I275*5)&gt;=3,3,IF((I274/I275*5)=5,3,I274/I275*5))))</f>
        <v>1</v>
      </c>
      <c r="J276" s="27">
        <f t="shared" ref="J276:L276" si="90">IF((J274/J275*5)=0,1,IF((J274/J275*5)&lt;=1,1,IF((J274/J275*5)&gt;=3,3,IF((J274/J275*5)=5,3,J274/J275*5))))</f>
        <v>1</v>
      </c>
      <c r="K276" s="27">
        <f t="shared" si="90"/>
        <v>1</v>
      </c>
      <c r="L276" s="27">
        <f t="shared" si="90"/>
        <v>1</v>
      </c>
      <c r="M276" s="27"/>
      <c r="N276" s="27">
        <f>AVERAGE(J276:L276)</f>
        <v>1</v>
      </c>
      <c r="O276" s="34" t="s">
        <v>141</v>
      </c>
    </row>
    <row r="277" spans="1:15" ht="15" thickBot="1" x14ac:dyDescent="0.4"/>
    <row r="278" spans="1:15" x14ac:dyDescent="0.35">
      <c r="A278" s="15">
        <v>45686</v>
      </c>
      <c r="B278" s="14" t="s">
        <v>169</v>
      </c>
      <c r="C278" s="18"/>
      <c r="D278" s="30" t="s">
        <v>62</v>
      </c>
      <c r="E278" s="19">
        <v>0</v>
      </c>
      <c r="F278" s="19">
        <v>0</v>
      </c>
      <c r="G278" s="19">
        <f>0+0</f>
        <v>0</v>
      </c>
      <c r="H278" s="19">
        <f>0.1+0.2+0.3+0.4</f>
        <v>1</v>
      </c>
      <c r="I278" s="19">
        <f>0.1+0.2+0.1+0.1</f>
        <v>0.5</v>
      </c>
      <c r="J278" s="19">
        <f>0+0.3+0.2</f>
        <v>0.5</v>
      </c>
      <c r="K278" s="19">
        <f>0+0+0.1+0.3</f>
        <v>0.4</v>
      </c>
      <c r="L278" s="19">
        <f>0+0+0+0</f>
        <v>0</v>
      </c>
      <c r="M278" s="19"/>
      <c r="N278" s="18"/>
    </row>
    <row r="279" spans="1:15" x14ac:dyDescent="0.35">
      <c r="A279" s="15">
        <v>45686</v>
      </c>
      <c r="B279" s="14" t="s">
        <v>169</v>
      </c>
      <c r="C279" s="22"/>
      <c r="D279" s="22" t="s">
        <v>57</v>
      </c>
      <c r="E279" s="23">
        <v>1</v>
      </c>
      <c r="F279" s="23">
        <v>1</v>
      </c>
      <c r="G279" s="23">
        <v>2</v>
      </c>
      <c r="H279" s="23">
        <v>4</v>
      </c>
      <c r="I279" s="23">
        <v>4</v>
      </c>
      <c r="J279" s="23">
        <v>3</v>
      </c>
      <c r="K279" s="23">
        <v>4</v>
      </c>
      <c r="L279" s="23">
        <v>4</v>
      </c>
      <c r="M279" s="23"/>
      <c r="N279" s="22"/>
    </row>
    <row r="280" spans="1:15" ht="15" thickBot="1" x14ac:dyDescent="0.4">
      <c r="A280" s="15">
        <v>45686</v>
      </c>
      <c r="B280" s="14" t="s">
        <v>169</v>
      </c>
      <c r="C280" s="26"/>
      <c r="D280" s="26" t="s">
        <v>58</v>
      </c>
      <c r="E280" s="27">
        <f>IF((E278/E279*5)=0,1,IF((E278/E279*5)&lt;=1,1,IF((E278/E279*5)&gt;=3,3,IF((E278/E279*5)=5,3,E278/E279*5))))</f>
        <v>1</v>
      </c>
      <c r="F280" s="27">
        <f>IF((F278/F279*5)=0,1,IF((F278/F279*5)&lt;=1,1,IF((F278/F279*5)&gt;=3,3,IF((F278/F279*5)=5,3,F278/F279*5))))</f>
        <v>1</v>
      </c>
      <c r="G280" s="27">
        <f>IF((G278/G279*5)=0,1,IF((G278/G279*5)&lt;=1,1,IF((G278/G279*5)&gt;=3,3,IF((G278/G279*5)=5,3,G278/G279*5))))</f>
        <v>1</v>
      </c>
      <c r="H280" s="27">
        <f>IF((H278/H279*5)=0,1,IF((H278/H279*5)&lt;=1,1,IF((H278/H279*5)&gt;=3,3,IF((H278/H279*5)=5,3,H278/H279*5))))</f>
        <v>1.25</v>
      </c>
      <c r="I280" s="27">
        <f>IF((I278/I279*5)=0,1,IF((I278/I279*5)&lt;=1,1,IF((I278/I279*5)&gt;=3,3,IF((I278/I279*5)=5,3,I278/I279*5))))</f>
        <v>1</v>
      </c>
      <c r="J280" s="27">
        <f t="shared" ref="J280:L280" si="91">IF((J278/J279*5)=0,1,IF((J278/J279*5)&lt;=1,1,IF((J278/J279*5)&gt;=3,3,IF((J278/J279*5)=5,3,J278/J279*5))))</f>
        <v>1</v>
      </c>
      <c r="K280" s="27">
        <f t="shared" si="91"/>
        <v>1</v>
      </c>
      <c r="L280" s="27">
        <f t="shared" si="91"/>
        <v>1</v>
      </c>
      <c r="M280" s="27"/>
      <c r="N280" s="27">
        <f>AVERAGE(J280:L280)</f>
        <v>1</v>
      </c>
      <c r="O280" s="34" t="s">
        <v>168</v>
      </c>
    </row>
    <row r="281" spans="1:15" ht="15" thickBot="1" x14ac:dyDescent="0.4"/>
    <row r="282" spans="1:15" x14ac:dyDescent="0.35">
      <c r="A282" s="15">
        <v>45698</v>
      </c>
      <c r="B282" s="14" t="s">
        <v>170</v>
      </c>
      <c r="C282" s="18"/>
      <c r="D282" s="30" t="s">
        <v>62</v>
      </c>
      <c r="E282" s="19">
        <v>0</v>
      </c>
      <c r="F282" s="19">
        <v>0</v>
      </c>
      <c r="G282" s="19">
        <f>0+0</f>
        <v>0</v>
      </c>
      <c r="H282" s="19">
        <f>0.5+0+0.1+0</f>
        <v>0.6</v>
      </c>
      <c r="I282" s="19">
        <f>0.1+0.2+0.1+0.1</f>
        <v>0.5</v>
      </c>
      <c r="J282" s="19">
        <f>0.2+0.4+0.3</f>
        <v>0.90000000000000013</v>
      </c>
      <c r="K282" s="19">
        <f>0+0+0.4+0.3</f>
        <v>0.7</v>
      </c>
      <c r="L282" s="19">
        <f>0.3+0+0+0</f>
        <v>0.3</v>
      </c>
      <c r="M282" s="19"/>
      <c r="N282" s="18"/>
    </row>
    <row r="283" spans="1:15" x14ac:dyDescent="0.35">
      <c r="A283" s="15">
        <v>45698</v>
      </c>
      <c r="B283" s="14" t="s">
        <v>170</v>
      </c>
      <c r="C283" s="22"/>
      <c r="D283" s="22" t="s">
        <v>57</v>
      </c>
      <c r="E283" s="23">
        <v>1</v>
      </c>
      <c r="F283" s="23">
        <v>1</v>
      </c>
      <c r="G283" s="23">
        <v>2</v>
      </c>
      <c r="H283" s="23">
        <v>4</v>
      </c>
      <c r="I283" s="23">
        <v>4</v>
      </c>
      <c r="J283" s="23">
        <v>3</v>
      </c>
      <c r="K283" s="23">
        <v>4</v>
      </c>
      <c r="L283" s="23">
        <v>4</v>
      </c>
      <c r="M283" s="23"/>
      <c r="N283" s="22"/>
    </row>
    <row r="284" spans="1:15" ht="15" thickBot="1" x14ac:dyDescent="0.4">
      <c r="A284" s="15">
        <v>45698</v>
      </c>
      <c r="B284" s="14" t="s">
        <v>170</v>
      </c>
      <c r="C284" s="26"/>
      <c r="D284" s="26" t="s">
        <v>58</v>
      </c>
      <c r="E284" s="27">
        <f>IF((E282/E283*5)=0,1,IF((E282/E283*5)&lt;=1,1,IF((E282/E283*5)&gt;=3,3,IF((E282/E283*5)=5,3,E282/E283*5))))</f>
        <v>1</v>
      </c>
      <c r="F284" s="27">
        <f>IF((F282/F283*5)=0,1,IF((F282/F283*5)&lt;=1,1,IF((F282/F283*5)&gt;=3,3,IF((F282/F283*5)=5,3,F282/F283*5))))</f>
        <v>1</v>
      </c>
      <c r="G284" s="27">
        <f>IF((G282/G283*5)=0,1,IF((G282/G283*5)&lt;=1,1,IF((G282/G283*5)&gt;=3,3,IF((G282/G283*5)=5,3,G282/G283*5))))</f>
        <v>1</v>
      </c>
      <c r="H284" s="27">
        <f>IF((H282/H283*5)=0,1,IF((H282/H283*5)&lt;=1,1,IF((H282/H283*5)&gt;=3,3,IF((H282/H283*5)=5,3,H282/H283*5))))</f>
        <v>1</v>
      </c>
      <c r="I284" s="27">
        <f>IF((I282/I283*5)=0,1,IF((I282/I283*5)&lt;=1,1,IF((I282/I283*5)&gt;=3,3,IF((I282/I283*5)=5,3,I282/I283*5))))</f>
        <v>1</v>
      </c>
      <c r="J284" s="27">
        <f t="shared" ref="J284:L284" si="92">IF((J282/J283*5)=0,1,IF((J282/J283*5)&lt;=1,1,IF((J282/J283*5)&gt;=3,3,IF((J282/J283*5)=5,3,J282/J283*5))))</f>
        <v>1.5000000000000002</v>
      </c>
      <c r="K284" s="27">
        <f t="shared" si="92"/>
        <v>1</v>
      </c>
      <c r="L284" s="27">
        <f t="shared" si="92"/>
        <v>1</v>
      </c>
      <c r="M284" s="27"/>
      <c r="N284" s="27">
        <f>AVERAGE(J284:L284)</f>
        <v>1.1666666666666667</v>
      </c>
      <c r="O284" s="34" t="s">
        <v>171</v>
      </c>
    </row>
    <row r="285" spans="1:15" ht="15" thickBot="1" x14ac:dyDescent="0.4"/>
    <row r="286" spans="1:15" x14ac:dyDescent="0.35">
      <c r="A286" s="15">
        <v>45699</v>
      </c>
      <c r="B286" s="14" t="s">
        <v>167</v>
      </c>
      <c r="C286" s="18"/>
      <c r="D286" s="30" t="s">
        <v>62</v>
      </c>
      <c r="E286" s="19">
        <v>0</v>
      </c>
      <c r="F286" s="19">
        <v>0</v>
      </c>
      <c r="G286" s="19">
        <f>0+0</f>
        <v>0</v>
      </c>
      <c r="H286" s="19">
        <f>0.3+0.4+0+0.1</f>
        <v>0.79999999999999993</v>
      </c>
      <c r="I286" s="19">
        <f>0.1+0.2+0.1+0.1</f>
        <v>0.5</v>
      </c>
      <c r="J286" s="19">
        <f>0.1+0.1+0.4</f>
        <v>0.60000000000000009</v>
      </c>
      <c r="K286" s="19">
        <f>0.2+0.3+0.1+0</f>
        <v>0.6</v>
      </c>
      <c r="L286" s="19">
        <f>0+0+0+0</f>
        <v>0</v>
      </c>
      <c r="M286" s="19"/>
      <c r="N286" s="18"/>
    </row>
    <row r="287" spans="1:15" x14ac:dyDescent="0.35">
      <c r="A287" s="15">
        <v>45699</v>
      </c>
      <c r="B287" s="14" t="s">
        <v>167</v>
      </c>
      <c r="C287" s="22"/>
      <c r="D287" s="22" t="s">
        <v>57</v>
      </c>
      <c r="E287" s="23">
        <v>1</v>
      </c>
      <c r="F287" s="23">
        <v>1</v>
      </c>
      <c r="G287" s="23">
        <v>2</v>
      </c>
      <c r="H287" s="23">
        <v>4</v>
      </c>
      <c r="I287" s="23">
        <v>4</v>
      </c>
      <c r="J287" s="23">
        <v>3</v>
      </c>
      <c r="K287" s="23">
        <v>4</v>
      </c>
      <c r="L287" s="23">
        <v>4</v>
      </c>
      <c r="M287" s="23"/>
      <c r="N287" s="22"/>
    </row>
    <row r="288" spans="1:15" ht="15" thickBot="1" x14ac:dyDescent="0.4">
      <c r="A288" s="15">
        <v>45699</v>
      </c>
      <c r="B288" s="14" t="s">
        <v>167</v>
      </c>
      <c r="C288" s="26"/>
      <c r="D288" s="26" t="s">
        <v>58</v>
      </c>
      <c r="E288" s="27">
        <f>IF((E286/E287*5)=0,1,IF((E286/E287*5)&lt;=1,1,IF((E286/E287*5)&gt;=3,3,IF((E286/E287*5)=5,3,E286/E287*5))))</f>
        <v>1</v>
      </c>
      <c r="F288" s="27">
        <f>IF((F286/F287*5)=0,1,IF((F286/F287*5)&lt;=1,1,IF((F286/F287*5)&gt;=3,3,IF((F286/F287*5)=5,3,F286/F287*5))))</f>
        <v>1</v>
      </c>
      <c r="G288" s="27">
        <f>IF((G286/G287*5)=0,1,IF((G286/G287*5)&lt;=1,1,IF((G286/G287*5)&gt;=3,3,IF((G286/G287*5)=5,3,G286/G287*5))))</f>
        <v>1</v>
      </c>
      <c r="H288" s="27">
        <f>IF((H286/H287*5)=0,1,IF((H286/H287*5)&lt;=1,1,IF((H286/H287*5)&gt;=3,3,IF((H286/H287*5)=5,3,H286/H287*5))))</f>
        <v>1</v>
      </c>
      <c r="I288" s="27">
        <f>IF((I286/I287*5)=0,1,IF((I286/I287*5)&lt;=1,1,IF((I286/I287*5)&gt;=3,3,IF((I286/I287*5)=5,3,I286/I287*5))))</f>
        <v>1</v>
      </c>
      <c r="J288" s="27">
        <f t="shared" ref="J288:L288" si="93">IF((J286/J287*5)=0,1,IF((J286/J287*5)&lt;=1,1,IF((J286/J287*5)&gt;=3,3,IF((J286/J287*5)=5,3,J286/J287*5))))</f>
        <v>1</v>
      </c>
      <c r="K288" s="27">
        <f t="shared" si="93"/>
        <v>1</v>
      </c>
      <c r="L288" s="27">
        <f t="shared" si="93"/>
        <v>1</v>
      </c>
      <c r="M288" s="27"/>
      <c r="N288" s="27">
        <f>AVERAGE(J288:L288)</f>
        <v>1</v>
      </c>
      <c r="O288" s="34" t="s">
        <v>172</v>
      </c>
    </row>
    <row r="289" spans="1:15" ht="15" thickBot="1" x14ac:dyDescent="0.4"/>
    <row r="290" spans="1:15" x14ac:dyDescent="0.35">
      <c r="A290" s="15">
        <v>45793</v>
      </c>
      <c r="B290" s="14" t="s">
        <v>173</v>
      </c>
      <c r="C290" s="18"/>
      <c r="D290" s="30" t="s">
        <v>62</v>
      </c>
      <c r="E290" s="19">
        <v>0.5</v>
      </c>
      <c r="F290" s="19">
        <v>1</v>
      </c>
      <c r="G290" s="19">
        <f>0+1</f>
        <v>1</v>
      </c>
      <c r="H290" s="19">
        <f>1+0.3+0.3+0.5</f>
        <v>2.1</v>
      </c>
      <c r="I290" s="19">
        <f>1+0.3+0.1+0.3</f>
        <v>1.7000000000000002</v>
      </c>
      <c r="J290" s="19">
        <f>0.5+0.5+0.5</f>
        <v>1.5</v>
      </c>
      <c r="K290" s="19">
        <f>0.2+0.3+0.4+0.3</f>
        <v>1.2</v>
      </c>
      <c r="L290" s="19">
        <f>0.5+0.5+0+0</f>
        <v>1</v>
      </c>
      <c r="M290" s="19"/>
      <c r="N290" s="18"/>
    </row>
    <row r="291" spans="1:15" x14ac:dyDescent="0.35">
      <c r="A291" s="15">
        <v>45793</v>
      </c>
      <c r="B291" s="14" t="s">
        <v>173</v>
      </c>
      <c r="C291" s="22"/>
      <c r="D291" s="22" t="s">
        <v>57</v>
      </c>
      <c r="E291" s="23">
        <v>1</v>
      </c>
      <c r="F291" s="23">
        <v>2</v>
      </c>
      <c r="G291" s="23">
        <v>2</v>
      </c>
      <c r="H291" s="23">
        <v>4</v>
      </c>
      <c r="I291" s="23">
        <v>4</v>
      </c>
      <c r="J291" s="23">
        <v>3</v>
      </c>
      <c r="K291" s="23">
        <v>4</v>
      </c>
      <c r="L291" s="23">
        <v>4</v>
      </c>
      <c r="M291" s="23"/>
      <c r="N291" s="22"/>
    </row>
    <row r="292" spans="1:15" ht="15" thickBot="1" x14ac:dyDescent="0.4">
      <c r="A292" s="15">
        <v>45793</v>
      </c>
      <c r="B292" s="14" t="s">
        <v>173</v>
      </c>
      <c r="C292" s="26"/>
      <c r="D292" s="26" t="s">
        <v>58</v>
      </c>
      <c r="E292" s="27">
        <f>IF(E291=0, "",
  LOOKUP(E290/E291,
    {0,0.2000001,0.3500001,0.5000001,0.7000001,0.8,0.8000001},
    {1,2,5,7,7,7.5,8}
  )
)</f>
        <v>5</v>
      </c>
      <c r="F292" s="27">
        <f>IF(F291=0, "",
  LOOKUP(F290/F291,
    {0,0.2000001,0.3500001,0.5000001,0.7000001,0.8,0.8000001},
    {1,2,5,7,7,7.5,8}
  )
)</f>
        <v>5</v>
      </c>
      <c r="G292" s="27">
        <f>IF(G291=0, "",
  LOOKUP(G290/G291,
    {0,0.2000001,0.3500001,0.5000001,0.7000001,0.8,0.8000001},
    {1,2,5,7,7,7.5,8}
  )
)</f>
        <v>5</v>
      </c>
      <c r="H292" s="27">
        <f>IF(H291=0, "",
  LOOKUP(H290/H291,
    {0,0.2000001,0.3500001,0.5000001,0.7000001,0.8,0.8000001},
    {1,2,5,7,7,7.5,8}
  )
)</f>
        <v>7</v>
      </c>
      <c r="I292" s="27">
        <f>IF(I291=0, "",
  LOOKUP(I290/I291,
    {0,0.2000001,0.3500001,0.5000001,0.7000001,0.8,0.8000001},
    {1,2,5,7,7,7.5,8}
  )
)</f>
        <v>5</v>
      </c>
      <c r="J292" s="27">
        <f>IF(J291=0, "",
  LOOKUP(J290/J291,
    {0,0.2000001,0.3500001,0.5000001,0.7000001,0.8,0.8000001},
    {1,2,5,7,7,7.5,8}
  )
)</f>
        <v>5</v>
      </c>
      <c r="K292" s="27">
        <f>IF(K291=0, "",
  LOOKUP(K290/K291,
    {0,0.2000001,0.3500001,0.5000001,0.7000001,0.8,0.8000001},
    {1,2,5,7,7,7.5,8}
  )
)</f>
        <v>2</v>
      </c>
      <c r="L292" s="27">
        <f>IF(L291=0, "",
  LOOKUP(L290/L291,
    {0,0.2000001,0.3500001,0.5000001,0.7000001,0.8,0.8000001},
    {1,2,5,7,7,7.5,8}
  )
)</f>
        <v>2</v>
      </c>
      <c r="M292" s="27"/>
      <c r="N292" s="27">
        <f>AVERAGE(J292:L292)</f>
        <v>3</v>
      </c>
      <c r="O292" s="34" t="s">
        <v>174</v>
      </c>
    </row>
    <row r="293" spans="1:15" ht="15" thickBot="1" x14ac:dyDescent="0.4"/>
    <row r="294" spans="1:15" x14ac:dyDescent="0.35">
      <c r="A294" s="15">
        <v>45794</v>
      </c>
      <c r="B294" s="14" t="s">
        <v>177</v>
      </c>
      <c r="C294" s="18"/>
      <c r="D294" s="30" t="s">
        <v>62</v>
      </c>
      <c r="E294" s="19">
        <v>0</v>
      </c>
      <c r="F294" s="19">
        <v>1.5</v>
      </c>
      <c r="G294" s="19">
        <f>0</f>
        <v>0</v>
      </c>
      <c r="H294" s="19">
        <f>0.5+0.7+0.2+0</f>
        <v>1.4</v>
      </c>
      <c r="I294" s="19">
        <f>1+0.6+0.1+0.3</f>
        <v>2</v>
      </c>
      <c r="J294" s="19">
        <f>0.5+0.5+0.5</f>
        <v>1.5</v>
      </c>
      <c r="K294" s="19">
        <f>1+0.3+0.5</f>
        <v>1.8</v>
      </c>
      <c r="L294" s="19">
        <f>0.2+0+0.4</f>
        <v>0.60000000000000009</v>
      </c>
      <c r="M294" s="19"/>
      <c r="N294" s="18"/>
    </row>
    <row r="295" spans="1:15" x14ac:dyDescent="0.35">
      <c r="A295" s="15">
        <v>45794</v>
      </c>
      <c r="B295" s="14" t="s">
        <v>177</v>
      </c>
      <c r="C295" s="22"/>
      <c r="D295" s="22" t="s">
        <v>57</v>
      </c>
      <c r="E295" s="23">
        <v>1</v>
      </c>
      <c r="F295" s="23">
        <v>2</v>
      </c>
      <c r="G295" s="23">
        <v>1</v>
      </c>
      <c r="H295" s="23">
        <v>4</v>
      </c>
      <c r="I295" s="23">
        <v>4</v>
      </c>
      <c r="J295" s="23">
        <v>3</v>
      </c>
      <c r="K295" s="23">
        <v>3</v>
      </c>
      <c r="L295" s="23">
        <v>3</v>
      </c>
      <c r="M295" s="23"/>
      <c r="N295" s="22"/>
    </row>
    <row r="296" spans="1:15" ht="15" thickBot="1" x14ac:dyDescent="0.4">
      <c r="A296" s="15">
        <v>45794</v>
      </c>
      <c r="B296" s="14" t="s">
        <v>177</v>
      </c>
      <c r="C296" s="26"/>
      <c r="D296" s="26" t="s">
        <v>58</v>
      </c>
      <c r="E296" s="27">
        <f>IF(E295=0, "",
  LOOKUP(E294/E295,
    {0,0.2000001,0.3500001,0.5000001,0.7000001,0.8,0.8000001},
    {1,2,5,7,7,7.5,8}
  )
)</f>
        <v>1</v>
      </c>
      <c r="F296" s="27">
        <f>IF(F295=0, "",
  LOOKUP(F294/F295,
    {0,0.2000001,0.3500001,0.5000001,0.7000001,0.8,0.8000001},
    {1,2,5,7,7,7.5,8}
  )
)</f>
        <v>7</v>
      </c>
      <c r="G296" s="27">
        <f>IF(G295=0, "",
  LOOKUP(G294/G295,
    {0,0.2000001,0.3500001,0.5000001,0.7000001,0.8,0.8000001},
    {1,2,5,7,7,7.5,8}
  )
)</f>
        <v>1</v>
      </c>
      <c r="H296" s="27">
        <f>IF(H295=0, "",
  LOOKUP(H294/H295,
    {0,0.2000001,0.3500001,0.5000001,0.7000001,0.8,0.8000001},
    {1,2,5,7,7,7.5,8}
  )
)</f>
        <v>2</v>
      </c>
      <c r="I296" s="27">
        <f>IF(I295=0, "",
  LOOKUP(I294/I295,
    {0,0.2000001,0.3500001,0.5000001,0.7000001,0.8,0.8000001},
    {1,2,5,7,7,7.5,8}
  )
)</f>
        <v>5</v>
      </c>
      <c r="J296" s="27">
        <f>IF(J295=0, "",
  LOOKUP(J294/J295,
    {0,0.2000001,0.3500001,0.5000001,0.7000001,0.8,0.8000001},
    {1,2,5,7,7,7.5,8}
  )
)</f>
        <v>5</v>
      </c>
      <c r="K296" s="27">
        <f>IF(K295=0, "",
  LOOKUP(K294/K295,
    {0,0.2000001,0.3500001,0.5000001,0.7000001,0.8,0.8000001},
    {1,2,5,7,7,7.5,8}
  )
)</f>
        <v>7</v>
      </c>
      <c r="L296" s="27">
        <f>IF(L295=0, "",
  LOOKUP(L294/L295,
    {0,0.2000001,0.3500001,0.5000001,0.7000001,0.8,0.8000001},
    {1,2,5,7,7,7.5,8}
  )
)</f>
        <v>1</v>
      </c>
      <c r="M296" s="27"/>
      <c r="N296" s="27">
        <f>AVERAGE(J296:L296)</f>
        <v>4.333333333333333</v>
      </c>
      <c r="O296" s="34" t="s">
        <v>178</v>
      </c>
    </row>
    <row r="297" spans="1:15" ht="15" thickBot="1" x14ac:dyDescent="0.4"/>
    <row r="298" spans="1:15" x14ac:dyDescent="0.35">
      <c r="A298" s="15">
        <v>45794</v>
      </c>
      <c r="B298" s="14" t="s">
        <v>177</v>
      </c>
      <c r="C298" s="18"/>
      <c r="D298" s="30" t="s">
        <v>62</v>
      </c>
      <c r="E298" s="19">
        <v>1</v>
      </c>
      <c r="F298" s="19">
        <v>1</v>
      </c>
      <c r="G298" s="19">
        <v>1</v>
      </c>
      <c r="H298" s="19">
        <f>1+0.5+0.2+0.5</f>
        <v>2.2000000000000002</v>
      </c>
      <c r="I298" s="19">
        <f>1+0.5</f>
        <v>1.5</v>
      </c>
      <c r="J298" s="19">
        <f>0.5+0.5+0.5</f>
        <v>1.5</v>
      </c>
      <c r="K298" s="19">
        <f>0.5+0.5+0.3</f>
        <v>1.3</v>
      </c>
      <c r="L298" s="19">
        <f>0.5+0.5+0.2</f>
        <v>1.2</v>
      </c>
      <c r="M298" s="19"/>
      <c r="N298" s="18"/>
    </row>
    <row r="299" spans="1:15" x14ac:dyDescent="0.35">
      <c r="A299" s="15">
        <v>45794</v>
      </c>
      <c r="B299" s="14" t="s">
        <v>177</v>
      </c>
      <c r="C299" s="22"/>
      <c r="D299" s="22" t="s">
        <v>57</v>
      </c>
      <c r="E299" s="23">
        <v>1</v>
      </c>
      <c r="F299" s="23">
        <v>2</v>
      </c>
      <c r="G299" s="23">
        <v>1</v>
      </c>
      <c r="H299" s="23">
        <v>4</v>
      </c>
      <c r="I299" s="23">
        <v>2</v>
      </c>
      <c r="J299" s="23">
        <v>3</v>
      </c>
      <c r="K299" s="23">
        <v>3</v>
      </c>
      <c r="L299" s="23">
        <v>3</v>
      </c>
      <c r="M299" s="23"/>
      <c r="N299" s="22"/>
    </row>
    <row r="300" spans="1:15" ht="15" thickBot="1" x14ac:dyDescent="0.4">
      <c r="A300" s="15">
        <v>45794</v>
      </c>
      <c r="B300" s="14" t="s">
        <v>177</v>
      </c>
      <c r="C300" s="26"/>
      <c r="D300" s="26" t="s">
        <v>58</v>
      </c>
      <c r="E300" s="27">
        <f>IF(E299=0, "",
  LOOKUP(E298/E299,
    {0,0.2000001,0.3500001,0.5000001,0.7000001,0.8,0.8000001},
    {1,2,5,7,7,7.5,8}
  )
)</f>
        <v>8</v>
      </c>
      <c r="F300" s="27">
        <f>IF(F299=0, "",
  LOOKUP(F298/F299,
    {0,0.2000001,0.3500001,0.5000001,0.7000001,0.8,0.8000001},
    {1,2,5,7,7,7.5,8}
  )
)</f>
        <v>5</v>
      </c>
      <c r="G300" s="27">
        <f>IF(G299=0, "",
  LOOKUP(G298/G299,
    {0,0.2000001,0.3500001,0.5000001,0.7000001,0.8,0.8000001},
    {1,2,5,7,7,7.5,8}
  )
)</f>
        <v>8</v>
      </c>
      <c r="H300" s="27">
        <f>IF(H299=0, "",
  LOOKUP(H298/H299,
    {0,0.2000001,0.3500001,0.5000001,0.7000001,0.8,0.8000001},
    {1,2,5,7,7,7.5,8}
  )
)</f>
        <v>7</v>
      </c>
      <c r="I300" s="27">
        <f>IF(I299=0, "",
  LOOKUP(I298/I299,
    {0,0.2000001,0.3500001,0.5000001,0.7000001,0.8,0.8000001},
    {1,2,5,7,7,7.5,8}
  )
)</f>
        <v>7</v>
      </c>
      <c r="J300" s="27">
        <f>IF(J299=0, "",
  LOOKUP(J298/J299,
    {0,0.2000001,0.3500001,0.5000001,0.7000001,0.8,0.8000001},
    {1,2,5,7,7,7.5,8}
  )
)</f>
        <v>5</v>
      </c>
      <c r="K300" s="27">
        <f>IF(K299=0, "",
  LOOKUP(K298/K299,
    {0,0.2000001,0.3500001,0.5000001,0.7000001,0.8,0.8000001},
    {1,2,5,7,7,7.5,8}
  )
)</f>
        <v>5</v>
      </c>
      <c r="L300" s="27">
        <f>IF(L299=0, "",
  LOOKUP(L298/L299,
    {0,0.2000001,0.3500001,0.5000001,0.7000001,0.8,0.8000001},
    {1,2,5,7,7,7.5,8}
  )
)</f>
        <v>5</v>
      </c>
      <c r="M300" s="27"/>
      <c r="N300" s="27">
        <f>AVERAGE(J300:L300)</f>
        <v>5</v>
      </c>
      <c r="O300" s="34" t="s">
        <v>179</v>
      </c>
    </row>
    <row r="301" spans="1:15" ht="15" thickBot="1" x14ac:dyDescent="0.4"/>
    <row r="302" spans="1:15" x14ac:dyDescent="0.35">
      <c r="A302" s="15">
        <v>45796</v>
      </c>
      <c r="B302" s="14" t="s">
        <v>180</v>
      </c>
      <c r="C302" s="18"/>
      <c r="D302" s="30" t="s">
        <v>62</v>
      </c>
      <c r="E302" s="19">
        <v>0</v>
      </c>
      <c r="F302" s="19">
        <v>0</v>
      </c>
      <c r="G302" s="19">
        <v>1</v>
      </c>
      <c r="H302" s="19">
        <f>0+0.2+0.4+0.8</f>
        <v>1.4000000000000001</v>
      </c>
      <c r="I302" s="19">
        <f>0+0.5+0.4</f>
        <v>0.9</v>
      </c>
      <c r="J302" s="19">
        <f>0.5+0.2+0.5</f>
        <v>1.2</v>
      </c>
      <c r="K302" s="19">
        <f>0.7+0.5+0.6</f>
        <v>1.7999999999999998</v>
      </c>
      <c r="L302" s="19">
        <f>0.5+0.5+0.5</f>
        <v>1.5</v>
      </c>
      <c r="M302" s="19"/>
      <c r="N302" s="18"/>
    </row>
    <row r="303" spans="1:15" x14ac:dyDescent="0.35">
      <c r="A303" s="15">
        <v>45796</v>
      </c>
      <c r="B303" s="14" t="s">
        <v>180</v>
      </c>
      <c r="C303" s="22"/>
      <c r="D303" s="22" t="s">
        <v>57</v>
      </c>
      <c r="E303" s="23">
        <v>1</v>
      </c>
      <c r="F303" s="23">
        <v>2</v>
      </c>
      <c r="G303" s="23">
        <v>1</v>
      </c>
      <c r="H303" s="23">
        <v>4</v>
      </c>
      <c r="I303" s="23">
        <v>3</v>
      </c>
      <c r="J303" s="23">
        <v>3</v>
      </c>
      <c r="K303" s="23">
        <v>3</v>
      </c>
      <c r="L303" s="23">
        <v>3</v>
      </c>
      <c r="M303" s="23"/>
      <c r="N303" s="22"/>
    </row>
    <row r="304" spans="1:15" ht="15" thickBot="1" x14ac:dyDescent="0.4">
      <c r="A304" s="15">
        <v>45796</v>
      </c>
      <c r="B304" s="14" t="s">
        <v>180</v>
      </c>
      <c r="C304" s="26"/>
      <c r="D304" s="26" t="s">
        <v>58</v>
      </c>
      <c r="E304" s="27">
        <f>IF(E303=0, "",
  LOOKUP(E302/E303,
    {0,0.2000001,0.3500001,0.5000001,0.7000001,0.8,0.8000001},
    {1,2,5,7,7,7.5,8}
  )
)</f>
        <v>1</v>
      </c>
      <c r="F304" s="27">
        <f>IF(F303=0, "",
  LOOKUP(F302/F303,
    {0,0.2000001,0.3500001,0.5000001,0.7000001,0.8,0.8000001},
    {1,2,5,7,7,7.5,8}
  )
)</f>
        <v>1</v>
      </c>
      <c r="G304" s="27">
        <f>IF(G303=0, "",
  LOOKUP(G302/G303,
    {0,0.2000001,0.3500001,0.5000001,0.7000001,0.8,0.8000001},
    {1,2,5,7,7,7.5,8}
  )
)</f>
        <v>8</v>
      </c>
      <c r="H304" s="27">
        <f>IF(H303=0, "",
  LOOKUP(H302/H303,
    {0,0.2000001,0.3500001,0.5000001,0.7000001,0.8,0.8000001},
    {1,2,5,7,7,7.5,8}
  )
)</f>
        <v>2</v>
      </c>
      <c r="I304" s="27">
        <f>IF(I303=0, "",
  LOOKUP(I302/I303,
    {0,0.2000001,0.3500001,0.5000001,0.7000001,0.8,0.8000001},
    {1,2,5,7,7,7.5,8}
  )
)</f>
        <v>2</v>
      </c>
      <c r="J304" s="27">
        <f>IF(J303=0, "",
  LOOKUP(J302/J303,
    {0,0.2000001,0.3500001,0.5000001,0.7000001,0.8,0.8000001},
    {1,2,5,7,7,7.5,8}
  )
)</f>
        <v>5</v>
      </c>
      <c r="K304" s="27">
        <f>IF(K303=0, "",
  LOOKUP(K302/K303,
    {0,0.2000001,0.3500001,0.5000001,0.7000001,0.8,0.8000001},
    {1,2,5,7,7,7.5,8}
  )
)</f>
        <v>7</v>
      </c>
      <c r="L304" s="27">
        <f>IF(L303=0, "",
  LOOKUP(L302/L303,
    {0,0.2000001,0.3500001,0.5000001,0.7000001,0.8,0.8000001},
    {1,2,5,7,7,7.5,8}
  )
)</f>
        <v>5</v>
      </c>
      <c r="M304" s="27"/>
      <c r="N304" s="27">
        <f>AVERAGE(J304:L304)</f>
        <v>5.666666666666667</v>
      </c>
      <c r="O304" s="34" t="s">
        <v>181</v>
      </c>
    </row>
    <row r="305" spans="1:15" ht="15" thickBot="1" x14ac:dyDescent="0.4"/>
    <row r="306" spans="1:15" x14ac:dyDescent="0.35">
      <c r="A306" s="15">
        <v>45797</v>
      </c>
      <c r="B306" s="14" t="s">
        <v>182</v>
      </c>
      <c r="C306" s="18"/>
      <c r="D306" s="30" t="s">
        <v>62</v>
      </c>
      <c r="E306" s="19">
        <v>1</v>
      </c>
      <c r="F306" s="19">
        <v>1.5</v>
      </c>
      <c r="G306" s="19">
        <v>1</v>
      </c>
      <c r="H306" s="19">
        <f>1+0.9+0.9+0.9</f>
        <v>3.6999999999999997</v>
      </c>
      <c r="I306" s="19">
        <f>1+0.7+0.7</f>
        <v>2.4</v>
      </c>
      <c r="J306" s="19">
        <f>0.4+0.5+0.8</f>
        <v>1.7000000000000002</v>
      </c>
      <c r="K306" s="19">
        <f>0.7+0.5+0.6</f>
        <v>1.7999999999999998</v>
      </c>
      <c r="L306" s="19">
        <f>0.6+0.6+0.6</f>
        <v>1.7999999999999998</v>
      </c>
      <c r="M306" s="19"/>
      <c r="N306" s="18"/>
    </row>
    <row r="307" spans="1:15" x14ac:dyDescent="0.35">
      <c r="A307" s="15">
        <v>45797</v>
      </c>
      <c r="B307" s="14" t="s">
        <v>182</v>
      </c>
      <c r="C307" s="22"/>
      <c r="D307" s="22" t="s">
        <v>57</v>
      </c>
      <c r="E307" s="23">
        <v>1</v>
      </c>
      <c r="F307" s="23">
        <v>2</v>
      </c>
      <c r="G307" s="23">
        <v>1</v>
      </c>
      <c r="H307" s="23">
        <v>4</v>
      </c>
      <c r="I307" s="23">
        <v>3</v>
      </c>
      <c r="J307" s="23">
        <v>3</v>
      </c>
      <c r="K307" s="23">
        <v>3</v>
      </c>
      <c r="L307" s="23">
        <v>3</v>
      </c>
      <c r="M307" s="23"/>
      <c r="N307" s="22"/>
    </row>
    <row r="308" spans="1:15" ht="15" thickBot="1" x14ac:dyDescent="0.4">
      <c r="A308" s="15">
        <v>45797</v>
      </c>
      <c r="B308" s="14" t="s">
        <v>182</v>
      </c>
      <c r="C308" s="26"/>
      <c r="D308" s="26" t="s">
        <v>58</v>
      </c>
      <c r="E308" s="27">
        <f>IF(E307=0, "",
  LOOKUP(E306/E307,
    {0,0.2000001,0.3500001,0.5000001,0.7000001,0.8,0.8000001},
    {1,2,5,7,7,7.5,8}
  )
)</f>
        <v>8</v>
      </c>
      <c r="F308" s="27">
        <f>IF(F307=0, "",
  LOOKUP(F306/F307,
    {0,0.2000001,0.3500001,0.5000001,0.7000001,0.8,0.8000001},
    {1,2,5,7,7,7.5,8}
  )
)</f>
        <v>7</v>
      </c>
      <c r="G308" s="27">
        <f>IF(G307=0, "",
  LOOKUP(G306/G307,
    {0,0.2000001,0.3500001,0.5000001,0.7000001,0.8,0.8000001},
    {1,2,5,7,7,7.5,8}
  )
)</f>
        <v>8</v>
      </c>
      <c r="H308" s="27">
        <f>IF(H307=0, "",
  LOOKUP(H306/H307,
    {0,0.2000001,0.3500001,0.5000001,0.7000001,0.8,0.8000001},
    {1,2,5,7,7,7.5,8}
  )
)</f>
        <v>8</v>
      </c>
      <c r="I308" s="27">
        <f>IF(I307=0, "",
  LOOKUP(I306/I307,
    {0,0.2000001,0.3500001,0.5000001,0.7000001,0.8,0.8000001},
    {1,2,5,7,7,7.5,8}
  )
)</f>
        <v>7</v>
      </c>
      <c r="J308" s="27">
        <f>IF(J307=0, "",
  LOOKUP(J306/J307,
    {0,0.2000001,0.3500001,0.5000001,0.7000001,0.8,0.8000001},
    {1,2,5,7,7,7.5,8}
  )
)</f>
        <v>7</v>
      </c>
      <c r="K308" s="27">
        <f>IF(K307=0, "",
  LOOKUP(K306/K307,
    {0,0.2000001,0.3500001,0.5000001,0.7000001,0.8,0.8000001},
    {1,2,5,7,7,7.5,8}
  )
)</f>
        <v>7</v>
      </c>
      <c r="L308" s="27">
        <f>IF(L307=0, "",
  LOOKUP(L306/L307,
    {0,0.2000001,0.3500001,0.5000001,0.7000001,0.8,0.8000001},
    {1,2,5,7,7,7.5,8}
  )
)</f>
        <v>7</v>
      </c>
      <c r="M308" s="27"/>
      <c r="N308" s="27">
        <f>AVERAGE(J308:L308)</f>
        <v>7</v>
      </c>
      <c r="O308" s="34" t="s">
        <v>183</v>
      </c>
    </row>
    <row r="309" spans="1:15" ht="15" thickBot="1" x14ac:dyDescent="0.4"/>
    <row r="310" spans="1:15" x14ac:dyDescent="0.35">
      <c r="A310" s="15">
        <v>45797</v>
      </c>
      <c r="B310" s="14" t="s">
        <v>184</v>
      </c>
      <c r="C310" s="18"/>
      <c r="D310" s="30" t="s">
        <v>62</v>
      </c>
      <c r="E310" s="19">
        <v>0</v>
      </c>
      <c r="F310" s="19">
        <v>2</v>
      </c>
      <c r="G310" s="19">
        <v>1</v>
      </c>
      <c r="H310" s="19">
        <f>0.2+0.5+0.4+0.6</f>
        <v>1.7000000000000002</v>
      </c>
      <c r="I310" s="19">
        <f>0.2+0.5+0.1+0.5</f>
        <v>1.2999999999999998</v>
      </c>
      <c r="J310" s="19">
        <f>0.2+0.4+0.4</f>
        <v>1</v>
      </c>
      <c r="K310" s="19">
        <f>0.3+0.3+0.5</f>
        <v>1.1000000000000001</v>
      </c>
      <c r="L310" s="19">
        <f>0.5+0.4+0.4</f>
        <v>1.3</v>
      </c>
      <c r="M310" s="19"/>
      <c r="N310" s="18"/>
    </row>
    <row r="311" spans="1:15" x14ac:dyDescent="0.35">
      <c r="A311" s="15">
        <v>45797</v>
      </c>
      <c r="B311" s="14" t="s">
        <v>184</v>
      </c>
      <c r="C311" s="22"/>
      <c r="D311" s="22" t="s">
        <v>57</v>
      </c>
      <c r="E311" s="23">
        <v>1</v>
      </c>
      <c r="F311" s="23">
        <v>2</v>
      </c>
      <c r="G311" s="23">
        <v>1</v>
      </c>
      <c r="H311" s="23">
        <v>4</v>
      </c>
      <c r="I311" s="23">
        <v>4</v>
      </c>
      <c r="J311" s="23">
        <v>3</v>
      </c>
      <c r="K311" s="23">
        <v>3</v>
      </c>
      <c r="L311" s="23">
        <v>3</v>
      </c>
      <c r="M311" s="23"/>
      <c r="N311" s="22"/>
    </row>
    <row r="312" spans="1:15" ht="15" thickBot="1" x14ac:dyDescent="0.4">
      <c r="A312" s="15">
        <v>45797</v>
      </c>
      <c r="B312" s="14" t="s">
        <v>184</v>
      </c>
      <c r="C312" s="26"/>
      <c r="D312" s="26" t="s">
        <v>58</v>
      </c>
      <c r="E312" s="27">
        <f>IF(E311=0, "",
  LOOKUP(E310/E311,
    {0,0.2000001,0.3500001,0.5000001,0.7000001,0.8,0.8000001},
    {1,2,5,7,7,7.5,8}
  )
)</f>
        <v>1</v>
      </c>
      <c r="F312" s="27">
        <f>IF(F311=0, "",
  LOOKUP(F310/F311,
    {0,0.2000001,0.3500001,0.5000001,0.7000001,0.8,0.8000001},
    {1,2,5,7,7,7.5,8}
  )
)</f>
        <v>8</v>
      </c>
      <c r="G312" s="27">
        <f>IF(G311=0, "",
  LOOKUP(G310/G311,
    {0,0.2000001,0.3500001,0.5000001,0.7000001,0.8,0.8000001},
    {1,2,5,7,7,7.5,8}
  )
)</f>
        <v>8</v>
      </c>
      <c r="H312" s="27">
        <f>IF(H311=0, "",
  LOOKUP(H310/H311,
    {0,0.2000001,0.3500001,0.5000001,0.7000001,0.8,0.8000001},
    {1,2,5,7,7,7.5,8}
  )
)</f>
        <v>5</v>
      </c>
      <c r="I312" s="27">
        <f>IF(I311=0, "",
  LOOKUP(I310/I311,
    {0,0.2000001,0.3500001,0.5000001,0.7000001,0.8,0.8000001},
    {1,2,5,7,7,7.5,8}
  )
)</f>
        <v>2</v>
      </c>
      <c r="J312" s="27">
        <f>IF(J311=0, "",
  LOOKUP(J310/J311,
    {0,0.2000001,0.3500001,0.5000001,0.7000001,0.8,0.8000001},
    {1,2,5,7,7,7.5,8}
  )
)</f>
        <v>2</v>
      </c>
      <c r="K312" s="27">
        <f>IF(K311=0, "",
  LOOKUP(K310/K311,
    {0,0.2000001,0.3500001,0.5000001,0.7000001,0.8,0.8000001},
    {1,2,5,7,7,7.5,8}
  )
)</f>
        <v>5</v>
      </c>
      <c r="L312" s="27">
        <f>IF(L311=0, "",
  LOOKUP(L310/L311,
    {0,0.2000001,0.3500001,0.5000001,0.7000001,0.8,0.8000001},
    {1,2,5,7,7,7.5,8}
  )
)</f>
        <v>5</v>
      </c>
      <c r="M312" s="27"/>
      <c r="N312" s="27">
        <f>AVERAGE(E312:L312)</f>
        <v>4.5</v>
      </c>
      <c r="O312" s="34" t="s">
        <v>185</v>
      </c>
    </row>
    <row r="313" spans="1:15" ht="15" thickBot="1" x14ac:dyDescent="0.4"/>
    <row r="314" spans="1:15" x14ac:dyDescent="0.35">
      <c r="A314" s="15">
        <v>45797</v>
      </c>
      <c r="B314" s="14" t="s">
        <v>187</v>
      </c>
      <c r="C314" s="18"/>
      <c r="D314" s="30" t="s">
        <v>62</v>
      </c>
      <c r="E314" s="19">
        <v>0</v>
      </c>
      <c r="F314" s="19">
        <v>1.5</v>
      </c>
      <c r="G314" s="19">
        <v>2</v>
      </c>
      <c r="H314" s="19">
        <f>0+0+0.3+0.6</f>
        <v>0.89999999999999991</v>
      </c>
      <c r="I314" s="19">
        <f>0+0.6+0.5+0.7</f>
        <v>1.8</v>
      </c>
      <c r="J314" s="19">
        <f>0.5+0.5+1</f>
        <v>2</v>
      </c>
      <c r="K314" s="19">
        <f>0.5+0.6+0.2</f>
        <v>1.3</v>
      </c>
      <c r="L314" s="19">
        <f>0.5+0.5+0.4</f>
        <v>1.4</v>
      </c>
      <c r="M314" s="19"/>
      <c r="N314" s="18"/>
    </row>
    <row r="315" spans="1:15" x14ac:dyDescent="0.35">
      <c r="A315" s="15">
        <v>45797</v>
      </c>
      <c r="B315" s="14" t="s">
        <v>187</v>
      </c>
      <c r="C315" s="22"/>
      <c r="D315" s="22" t="s">
        <v>57</v>
      </c>
      <c r="E315" s="23">
        <v>1</v>
      </c>
      <c r="F315" s="23">
        <v>2</v>
      </c>
      <c r="G315" s="23">
        <v>2</v>
      </c>
      <c r="H315" s="23">
        <v>4</v>
      </c>
      <c r="I315" s="23">
        <v>4</v>
      </c>
      <c r="J315" s="23">
        <v>3</v>
      </c>
      <c r="K315" s="23">
        <v>3</v>
      </c>
      <c r="L315" s="23">
        <v>3</v>
      </c>
      <c r="M315" s="23"/>
      <c r="N315" s="22"/>
    </row>
    <row r="316" spans="1:15" ht="15" thickBot="1" x14ac:dyDescent="0.4">
      <c r="A316" s="15">
        <v>45797</v>
      </c>
      <c r="B316" s="14" t="s">
        <v>187</v>
      </c>
      <c r="C316" s="26"/>
      <c r="D316" s="26" t="s">
        <v>58</v>
      </c>
      <c r="E316" s="27">
        <f>IF(E315=0, "",
  LOOKUP(E314/E315,
    {0,0.2000001,0.3500001,0.5000001,0.7000001,0.8,0.8000001},
    {1,2,5,7,7,7.5,8}
  )
)</f>
        <v>1</v>
      </c>
      <c r="F316" s="27">
        <f>IF(F315=0, "",
  LOOKUP(F314/F315,
    {0,0.2000001,0.3500001,0.5000001,0.7000001,0.8,0.8000001},
    {1,2,5,7,7,7.5,8}
  )
)</f>
        <v>7</v>
      </c>
      <c r="G316" s="27">
        <f>IF(G315=0, "",
  LOOKUP(G314/G315,
    {0,0.2000001,0.3500001,0.5000001,0.7000001,0.8,0.8000001},
    {1,2,5,7,7,7.5,8}
  )
)</f>
        <v>8</v>
      </c>
      <c r="H316" s="27">
        <f>IF(H315=0, "",
  LOOKUP(H314/H315,
    {0,0.2000001,0.3500001,0.5000001,0.7000001,0.8,0.8000001},
    {1,2,5,7,7,7.5,8}
  )
)</f>
        <v>2</v>
      </c>
      <c r="I316" s="27">
        <f>IF(I315=0, "",
  LOOKUP(I314/I315,
    {0,0.2000001,0.3500001,0.5000001,0.7000001,0.8,0.8000001},
    {1,2,5,7,7,7.5,8}
  )
)</f>
        <v>5</v>
      </c>
      <c r="J316" s="27">
        <f>IF(J315=0, "",
  LOOKUP(J314/J315,
    {0,0.2000001,0.3500001,0.5000001,0.7000001,0.8,0.8000001},
    {1,2,5,7,7,7.5,8}
  )
)</f>
        <v>7</v>
      </c>
      <c r="K316" s="27">
        <f>IF(K315=0, "",
  LOOKUP(K314/K315,
    {0,0.2000001,0.3500001,0.5000001,0.7000001,0.8,0.8000001},
    {1,2,5,7,7,7.5,8}
  )
)</f>
        <v>5</v>
      </c>
      <c r="L316" s="27">
        <f>IF(L315=0, "",
  LOOKUP(L314/L315,
    {0,0.2000001,0.3500001,0.5000001,0.7000001,0.8,0.8000001},
    {1,2,5,7,7,7.5,8}
  )
)</f>
        <v>5</v>
      </c>
      <c r="M316" s="27"/>
      <c r="N316" s="27">
        <f>AVERAGE(E316:L316)</f>
        <v>5</v>
      </c>
      <c r="O316" s="34" t="s">
        <v>186</v>
      </c>
    </row>
    <row r="317" spans="1:15" ht="15" thickBot="1" x14ac:dyDescent="0.4"/>
    <row r="318" spans="1:15" x14ac:dyDescent="0.35">
      <c r="A318" s="15">
        <v>45799</v>
      </c>
      <c r="B318" s="14" t="s">
        <v>188</v>
      </c>
      <c r="C318" s="18"/>
      <c r="D318" s="30" t="s">
        <v>62</v>
      </c>
      <c r="E318" s="19">
        <v>0</v>
      </c>
      <c r="F318" s="19">
        <v>2</v>
      </c>
      <c r="G318" s="19">
        <v>0</v>
      </c>
      <c r="H318" s="19">
        <f>0+0.1+0.5+0.6</f>
        <v>1.2</v>
      </c>
      <c r="I318" s="19">
        <f>0+0.6+0.5+0.7</f>
        <v>1.8</v>
      </c>
      <c r="J318" s="19">
        <f>0.5+0.5+1</f>
        <v>2</v>
      </c>
      <c r="K318" s="19">
        <f>0.7+0.6+0.5</f>
        <v>1.7999999999999998</v>
      </c>
      <c r="L318" s="19">
        <f>0.5+0.5+0.5</f>
        <v>1.5</v>
      </c>
      <c r="M318" s="19"/>
      <c r="N318" s="18"/>
    </row>
    <row r="319" spans="1:15" x14ac:dyDescent="0.35">
      <c r="A319" s="15">
        <v>45799</v>
      </c>
      <c r="B319" s="14" t="s">
        <v>188</v>
      </c>
      <c r="C319" s="22"/>
      <c r="D319" s="22" t="s">
        <v>57</v>
      </c>
      <c r="E319" s="23">
        <v>1</v>
      </c>
      <c r="F319" s="23">
        <v>2</v>
      </c>
      <c r="G319" s="23">
        <v>2</v>
      </c>
      <c r="H319" s="23">
        <v>4</v>
      </c>
      <c r="I319" s="23">
        <v>4</v>
      </c>
      <c r="J319" s="23">
        <v>3</v>
      </c>
      <c r="K319" s="23">
        <v>3</v>
      </c>
      <c r="L319" s="23">
        <v>3</v>
      </c>
      <c r="M319" s="23"/>
      <c r="N319" s="22"/>
    </row>
    <row r="320" spans="1:15" ht="15" thickBot="1" x14ac:dyDescent="0.4">
      <c r="A320" s="15">
        <v>45799</v>
      </c>
      <c r="B320" s="14" t="s">
        <v>188</v>
      </c>
      <c r="C320" s="26"/>
      <c r="D320" s="26" t="s">
        <v>58</v>
      </c>
      <c r="E320" s="27">
        <f>IF(E319=0, "",
  LOOKUP(E318/E319,
    {0,0.2000001,0.3500001,0.5000001,0.7000001,0.8,0.8000001},
    {1,2,5,7,7,7.5,8}
  )
)</f>
        <v>1</v>
      </c>
      <c r="F320" s="27">
        <f>IF(F319=0, "",
  LOOKUP(F318/F319,
    {0,0.2000001,0.3500001,0.5000001,0.7000001,0.8,0.8000001},
    {1,2,5,7,7,7.5,8}
  )
)</f>
        <v>8</v>
      </c>
      <c r="G320" s="27">
        <f>IF(G319=0, "",
  LOOKUP(G318/G319,
    {0,0.2000001,0.3500001,0.5000001,0.7000001,0.8,0.8000001},
    {1,2,5,7,7,7.5,8}
  )
)</f>
        <v>1</v>
      </c>
      <c r="H320" s="27">
        <f>IF(H319=0, "",
  LOOKUP(H318/H319,
    {0,0.2000001,0.3500001,0.5000001,0.7000001,0.8,0.8000001},
    {1,2,5,7,7,7.5,8}
  )
)</f>
        <v>2</v>
      </c>
      <c r="I320" s="27">
        <f>IF(I319=0, "",
  LOOKUP(I318/I319,
    {0,0.2000001,0.3500001,0.5000001,0.7000001,0.8,0.8000001},
    {1,2,5,7,7,7.5,8}
  )
)</f>
        <v>5</v>
      </c>
      <c r="J320" s="27">
        <f>IF(J319=0, "",
  LOOKUP(J318/J319,
    {0,0.2000001,0.3500001,0.5000001,0.7000001,0.8,0.8000001},
    {1,2,5,7,7,7.5,8}
  )
)</f>
        <v>7</v>
      </c>
      <c r="K320" s="27">
        <f>IF(K319=0, "",
  LOOKUP(K318/K319,
    {0,0.2000001,0.3500001,0.5000001,0.7000001,0.8,0.8000001},
    {1,2,5,7,7,7.5,8}
  )
)</f>
        <v>7</v>
      </c>
      <c r="L320" s="27">
        <f>IF(L319=0, "",
  LOOKUP(L318/L319,
    {0,0.2000001,0.3500001,0.5000001,0.7000001,0.8,0.8000001},
    {1,2,5,7,7,7.5,8}
  )
)</f>
        <v>5</v>
      </c>
      <c r="M320" s="27"/>
      <c r="N320" s="27">
        <f>AVERAGE(E320:L320)</f>
        <v>4.5</v>
      </c>
      <c r="O320" s="34" t="s">
        <v>189</v>
      </c>
    </row>
    <row r="321" spans="1:15" ht="15" thickBot="1" x14ac:dyDescent="0.4"/>
    <row r="322" spans="1:15" s="18" customFormat="1" ht="15" thickBot="1" x14ac:dyDescent="0.4">
      <c r="A322" s="17">
        <v>45800</v>
      </c>
      <c r="B322" s="18" t="s">
        <v>190</v>
      </c>
      <c r="D322" s="30" t="s">
        <v>62</v>
      </c>
      <c r="E322" s="19">
        <v>0</v>
      </c>
      <c r="F322" s="19">
        <v>2</v>
      </c>
      <c r="G322" s="19">
        <v>2</v>
      </c>
      <c r="H322" s="19">
        <f>0.3+0.3+0+0</f>
        <v>0.6</v>
      </c>
      <c r="I322" s="19">
        <f>0+0.2+0.2+0.2</f>
        <v>0.60000000000000009</v>
      </c>
      <c r="J322" s="19">
        <f>0+0.2+0.2</f>
        <v>0.4</v>
      </c>
      <c r="K322" s="19">
        <f>0+0.2+0.4</f>
        <v>0.60000000000000009</v>
      </c>
      <c r="L322" s="19">
        <f>0.5+0.2+0.2</f>
        <v>0.89999999999999991</v>
      </c>
      <c r="M322" s="19"/>
    </row>
    <row r="323" spans="1:15" s="22" customFormat="1" ht="15" thickBot="1" x14ac:dyDescent="0.4">
      <c r="A323" s="17">
        <v>45800</v>
      </c>
      <c r="B323" s="18" t="s">
        <v>190</v>
      </c>
      <c r="D323" s="22" t="s">
        <v>57</v>
      </c>
      <c r="E323" s="23">
        <v>1</v>
      </c>
      <c r="F323" s="23">
        <v>2</v>
      </c>
      <c r="G323" s="23">
        <v>2</v>
      </c>
      <c r="H323" s="23">
        <v>4</v>
      </c>
      <c r="I323" s="23">
        <v>4</v>
      </c>
      <c r="J323" s="23">
        <v>3</v>
      </c>
      <c r="K323" s="23">
        <v>3</v>
      </c>
      <c r="L323" s="23">
        <v>3</v>
      </c>
      <c r="M323" s="23"/>
    </row>
    <row r="324" spans="1:15" s="26" customFormat="1" ht="15" thickBot="1" x14ac:dyDescent="0.4">
      <c r="A324" s="17">
        <v>45800</v>
      </c>
      <c r="B324" s="18" t="s">
        <v>190</v>
      </c>
      <c r="D324" s="26" t="s">
        <v>58</v>
      </c>
      <c r="E324" s="27">
        <f>IF(E323=0, "",
  LOOKUP(E322/E323,
    {0,0.2000001,0.3500001,0.5000001,0.7000001,0.8,0.8000001},
    {1,2,5,7,7,7.5,8}
  )
)</f>
        <v>1</v>
      </c>
      <c r="F324" s="27">
        <f>IF(F323=0, "",
  LOOKUP(F322/F323,
    {0,0.2000001,0.3500001,0.5000001,0.7000001,0.8,0.8000001},
    {1,2,5,7,7,7.5,8}
  )
)</f>
        <v>8</v>
      </c>
      <c r="G324" s="27">
        <f>IF(G323=0, "",
  LOOKUP(G322/G323,
    {0,0.2000001,0.3500001,0.5000001,0.7000001,0.8,0.8000001},
    {1,2,5,7,7,7.5,8}
  )
)</f>
        <v>8</v>
      </c>
      <c r="H324" s="27">
        <f>IF(H323=0, "",
  LOOKUP(H322/H323,
    {0,0.2000001,0.3500001,0.5000001,0.7000001,0.8,0.8000001},
    {1,2,5,7,7,7.5,8}
  )
)</f>
        <v>1</v>
      </c>
      <c r="I324" s="27">
        <f>IF(I323=0, "",
  LOOKUP(I322/I323,
    {0,0.2000001,0.3500001,0.5000001,0.7000001,0.8,0.8000001},
    {1,2,5,7,7,7.5,8}
  )
)</f>
        <v>1</v>
      </c>
      <c r="J324" s="27">
        <f>IF(J323=0, "",
  LOOKUP(J322/J323,
    {0,0.2000001,0.3500001,0.5000001,0.7000001,0.8,0.8000001},
    {1,2,5,7,7,7.5,8}
  )
)</f>
        <v>1</v>
      </c>
      <c r="K324" s="27">
        <f>IF(K323=0, "",
  LOOKUP(K322/K323,
    {0,0.2000001,0.3500001,0.5000001,0.7000001,0.8,0.8000001},
    {1,2,5,7,7,7.5,8}
  )
)</f>
        <v>1</v>
      </c>
      <c r="L324" s="27">
        <f>IF(L323=0, "",
  LOOKUP(L322/L323,
    {0,0.2000001,0.3500001,0.5000001,0.7000001,0.8,0.8000001},
    {1,2,5,7,7,7.5,8}
  )
)</f>
        <v>2</v>
      </c>
      <c r="M324" s="27"/>
      <c r="N324" s="27">
        <f>AVERAGE(E324:L324)</f>
        <v>2.875</v>
      </c>
      <c r="O324" s="34" t="s">
        <v>178</v>
      </c>
    </row>
    <row r="325" spans="1:15" ht="15" thickBot="1" x14ac:dyDescent="0.4"/>
    <row r="326" spans="1:15" s="18" customFormat="1" ht="15" thickBot="1" x14ac:dyDescent="0.4">
      <c r="A326" s="17">
        <v>45805</v>
      </c>
      <c r="B326" s="18" t="s">
        <v>191</v>
      </c>
      <c r="D326" s="30" t="s">
        <v>62</v>
      </c>
      <c r="E326" s="19">
        <v>1</v>
      </c>
      <c r="F326" s="19">
        <v>2</v>
      </c>
      <c r="G326" s="19">
        <v>1.5</v>
      </c>
      <c r="H326" s="19">
        <f>0.4+0.4+0.5+1</f>
        <v>2.2999999999999998</v>
      </c>
      <c r="I326" s="19">
        <f>0.5+0.4+0.5+0.3</f>
        <v>1.7</v>
      </c>
      <c r="J326" s="19">
        <f>0.5+0.2+0.7</f>
        <v>1.4</v>
      </c>
      <c r="K326" s="19">
        <v>1</v>
      </c>
      <c r="L326" s="19">
        <f>0.3+0.3+0.2</f>
        <v>0.8</v>
      </c>
      <c r="M326" s="19"/>
    </row>
    <row r="327" spans="1:15" s="22" customFormat="1" ht="15" thickBot="1" x14ac:dyDescent="0.4">
      <c r="A327" s="17">
        <v>45805</v>
      </c>
      <c r="B327" s="18" t="s">
        <v>191</v>
      </c>
      <c r="D327" s="22" t="s">
        <v>57</v>
      </c>
      <c r="E327" s="23">
        <v>1</v>
      </c>
      <c r="F327" s="23">
        <v>2</v>
      </c>
      <c r="G327" s="23">
        <v>2</v>
      </c>
      <c r="H327" s="23">
        <v>4</v>
      </c>
      <c r="I327" s="23">
        <v>4</v>
      </c>
      <c r="J327" s="23">
        <v>3</v>
      </c>
      <c r="K327" s="23">
        <v>3</v>
      </c>
      <c r="L327" s="23">
        <v>3</v>
      </c>
      <c r="M327" s="23"/>
    </row>
    <row r="328" spans="1:15" s="26" customFormat="1" ht="15" thickBot="1" x14ac:dyDescent="0.4">
      <c r="A328" s="17">
        <v>45805</v>
      </c>
      <c r="B328" s="18" t="s">
        <v>191</v>
      </c>
      <c r="D328" s="26" t="s">
        <v>58</v>
      </c>
      <c r="E328" s="27">
        <f>IF(E327=0, "",
  LOOKUP(E326/E327,
    {0,0.2000001,0.3500001,0.5000001,0.7000001,0.8,0.8000001},
    {1,2,5,7,7,7.5,8}
  )
)</f>
        <v>8</v>
      </c>
      <c r="F328" s="27">
        <f>IF(F327=0, "",
  LOOKUP(F326/F327,
    {0,0.2000001,0.3500001,0.5000001,0.7000001,0.8,0.8000001},
    {1,2,5,7,7,7.5,8}
  )
)</f>
        <v>8</v>
      </c>
      <c r="G328" s="27">
        <f>IF(G327=0, "",
  LOOKUP(G326/G327,
    {0,0.2000001,0.3500001,0.5000001,0.7000001,0.8,0.8000001},
    {1,2,5,7,7,7.5,8}
  )
)</f>
        <v>7</v>
      </c>
      <c r="H328" s="27">
        <f>IF(H327=0, "",
  LOOKUP(H326/H327,
    {0,0.2000001,0.3500001,0.5000001,0.7000001,0.8,0.8000001},
    {1,2,5,7,7,7.5,8}
  )
)</f>
        <v>7</v>
      </c>
      <c r="I328" s="27">
        <f>IF(I327=0, "",
  LOOKUP(I326/I327,
    {0,0.2000001,0.3500001,0.5000001,0.7000001,0.8,0.8000001},
    {1,2,5,7,7,7.5,8}
  )
)</f>
        <v>5</v>
      </c>
      <c r="J328" s="27">
        <f>IF(J327=0, "",
  LOOKUP(J326/J327,
    {0,0.2000001,0.3500001,0.5000001,0.7000001,0.8,0.8000001},
    {1,2,5,7,7,7.5,8}
  )
)</f>
        <v>5</v>
      </c>
      <c r="K328" s="27">
        <f>IF(K327=0, "",
  LOOKUP(K326/K327,
    {0,0.2000001,0.3500001,0.5000001,0.7000001,0.8,0.8000001},
    {1,2,5,7,7,7.5,8}
  )
)</f>
        <v>2</v>
      </c>
      <c r="L328" s="27">
        <f>IF(L327=0, "",
  LOOKUP(L326/L327,
    {0,0.2000001,0.3500001,0.5000001,0.7000001,0.8,0.8000001},
    {1,2,5,7,7,7.5,8}
  )
)</f>
        <v>2</v>
      </c>
      <c r="M328" s="27"/>
      <c r="N328" s="27">
        <f>AVERAGE(E328:L328)</f>
        <v>5.5</v>
      </c>
      <c r="O328" s="34" t="s">
        <v>192</v>
      </c>
    </row>
    <row r="329" spans="1:15" ht="15" thickBot="1" x14ac:dyDescent="0.4"/>
    <row r="330" spans="1:15" s="18" customFormat="1" ht="15" thickBot="1" x14ac:dyDescent="0.4">
      <c r="A330" s="17">
        <v>45812</v>
      </c>
      <c r="B330" s="14" t="s">
        <v>193</v>
      </c>
      <c r="D330" s="30" t="s">
        <v>62</v>
      </c>
      <c r="E330" s="19">
        <v>0.2</v>
      </c>
      <c r="F330" s="19">
        <v>1</v>
      </c>
      <c r="G330" s="19">
        <f>0+0</f>
        <v>0</v>
      </c>
      <c r="H330" s="19">
        <f>0.2+0.4+0.3+0.3</f>
        <v>1.2000000000000002</v>
      </c>
      <c r="I330" s="19">
        <f>0+0.4+0.8+0</f>
        <v>1.2000000000000002</v>
      </c>
      <c r="J330" s="19">
        <f>0+0.4+0</f>
        <v>0.4</v>
      </c>
      <c r="K330" s="19">
        <f>0+0+0.3</f>
        <v>0.3</v>
      </c>
      <c r="L330" s="19">
        <f>0.2+0.1+0</f>
        <v>0.30000000000000004</v>
      </c>
      <c r="M330" s="19"/>
    </row>
    <row r="331" spans="1:15" s="22" customFormat="1" ht="15" thickBot="1" x14ac:dyDescent="0.4">
      <c r="A331" s="17">
        <v>45812</v>
      </c>
      <c r="B331" s="14" t="s">
        <v>193</v>
      </c>
      <c r="D331" s="22" t="s">
        <v>57</v>
      </c>
      <c r="E331" s="23">
        <v>1</v>
      </c>
      <c r="F331" s="23">
        <v>2</v>
      </c>
      <c r="G331" s="23">
        <v>2</v>
      </c>
      <c r="H331" s="23">
        <v>4</v>
      </c>
      <c r="I331" s="23">
        <v>4</v>
      </c>
      <c r="J331" s="23">
        <v>3</v>
      </c>
      <c r="K331" s="23">
        <v>3</v>
      </c>
      <c r="L331" s="23">
        <v>3</v>
      </c>
      <c r="M331" s="23"/>
    </row>
    <row r="332" spans="1:15" s="26" customFormat="1" ht="15" thickBot="1" x14ac:dyDescent="0.4">
      <c r="A332" s="17">
        <v>45812</v>
      </c>
      <c r="B332" s="14" t="s">
        <v>193</v>
      </c>
      <c r="D332" s="26" t="s">
        <v>58</v>
      </c>
      <c r="E332" s="27">
        <f>IF(E331=0, "",
  LOOKUP(E330/E331,
    {0,0.2000001,0.3500001,0.5000001,0.7000001,0.8,0.8000001},
    {1,2,5,7,7,7.5,8}
  )
)</f>
        <v>1</v>
      </c>
      <c r="F332" s="27">
        <f>IF(F331=0, "",
  LOOKUP(F330/F331,
    {0,0.2000001,0.3500001,0.5000001,0.7000001,0.8,0.8000001},
    {1,2,5,7,7,7.5,8}
  )
)</f>
        <v>5</v>
      </c>
      <c r="G332" s="27">
        <f>IF(G331=0, "",
  LOOKUP(G330/G331,
    {0,0.2000001,0.3500001,0.5000001,0.7000001,0.8,0.8000001},
    {1,2,5,7,7,7.5,8}
  )
)</f>
        <v>1</v>
      </c>
      <c r="H332" s="27">
        <f>IF(H331=0, "",
  LOOKUP(H330/H331,
    {0,0.2000001,0.3500001,0.5000001,0.7000001,0.8,0.8000001},
    {1,2,5,7,7,7.5,8}
  )
)</f>
        <v>2</v>
      </c>
      <c r="I332" s="27">
        <f>IF(I331=0, "",
  LOOKUP(I330/I331,
    {0,0.2000001,0.3500001,0.5000001,0.7000001,0.8,0.8000001},
    {1,2,5,7,7,7.5,8}
  )
)</f>
        <v>2</v>
      </c>
      <c r="J332" s="27">
        <f>IF(J331=0, "",
  LOOKUP(J330/J331,
    {0,0.2000001,0.3500001,0.5000001,0.7000001,0.8,0.8000001},
    {1,2,5,7,7,7.5,8}
  )
)</f>
        <v>1</v>
      </c>
      <c r="K332" s="27">
        <f>IF(K331=0, "",
  LOOKUP(K330/K331,
    {0,0.2000001,0.3500001,0.5000001,0.7000001,0.8,0.8000001},
    {1,2,5,7,7,7.5,8}
  )
)</f>
        <v>1</v>
      </c>
      <c r="L332" s="27">
        <f>IF(L331=0, "",
  LOOKUP(L330/L331,
    {0,0.2000001,0.3500001,0.5000001,0.7000001,0.8,0.8000001},
    {1,2,5,7,7,7.5,8}
  )
)</f>
        <v>1</v>
      </c>
      <c r="M332" s="27"/>
      <c r="N332" s="27">
        <f>AVERAGE(E332:L332)</f>
        <v>1.75</v>
      </c>
      <c r="O332" s="34" t="s">
        <v>178</v>
      </c>
    </row>
    <row r="333" spans="1:15" ht="15" thickBot="1" x14ac:dyDescent="0.4"/>
    <row r="334" spans="1:15" ht="15" thickBot="1" x14ac:dyDescent="0.4">
      <c r="A334" s="17">
        <v>45819</v>
      </c>
      <c r="B334" s="14" t="s">
        <v>194</v>
      </c>
      <c r="C334" s="18"/>
      <c r="D334" s="30" t="s">
        <v>62</v>
      </c>
      <c r="E334" s="19"/>
      <c r="F334" s="19"/>
      <c r="G334" s="19"/>
      <c r="H334" s="19"/>
      <c r="I334" s="19"/>
      <c r="J334" s="19"/>
      <c r="K334" s="19"/>
      <c r="L334" s="19"/>
      <c r="M334" s="19"/>
      <c r="N334" s="18"/>
      <c r="O334" s="18"/>
    </row>
    <row r="335" spans="1:15" ht="15" thickBot="1" x14ac:dyDescent="0.4">
      <c r="A335" s="17">
        <v>45819</v>
      </c>
      <c r="B335" s="14" t="s">
        <v>194</v>
      </c>
      <c r="C335" s="22"/>
      <c r="D335" s="22" t="s">
        <v>57</v>
      </c>
      <c r="E335" s="23"/>
      <c r="F335" s="23"/>
      <c r="G335" s="23"/>
      <c r="H335" s="23"/>
      <c r="I335" s="23"/>
      <c r="J335" s="23"/>
      <c r="K335" s="23"/>
      <c r="L335" s="23"/>
      <c r="M335" s="23"/>
      <c r="N335" s="22"/>
      <c r="O335" s="22"/>
    </row>
    <row r="336" spans="1:15" ht="15" thickBot="1" x14ac:dyDescent="0.4">
      <c r="A336" s="17">
        <v>45819</v>
      </c>
      <c r="B336" s="14" t="s">
        <v>194</v>
      </c>
      <c r="C336" s="26"/>
      <c r="D336" s="26" t="s">
        <v>58</v>
      </c>
      <c r="E336" s="27"/>
      <c r="F336" s="27"/>
      <c r="G336" s="27"/>
      <c r="H336" s="27"/>
      <c r="I336" s="27"/>
      <c r="J336" s="27"/>
      <c r="K336" s="27"/>
      <c r="L336" s="27"/>
      <c r="M336" s="27"/>
      <c r="N336" s="27"/>
      <c r="O336" s="34"/>
    </row>
    <row r="337" spans="1:15" ht="15" thickBot="1" x14ac:dyDescent="0.4"/>
    <row r="338" spans="1:15" s="18" customFormat="1" ht="15" thickBot="1" x14ac:dyDescent="0.4">
      <c r="A338" s="17">
        <v>45825</v>
      </c>
      <c r="B338" s="14" t="s">
        <v>193</v>
      </c>
      <c r="D338" s="30" t="s">
        <v>62</v>
      </c>
      <c r="E338" s="19">
        <v>0</v>
      </c>
      <c r="F338" s="19">
        <v>1</v>
      </c>
      <c r="G338" s="19">
        <f>0+0</f>
        <v>0</v>
      </c>
      <c r="H338" s="19">
        <f>0+0+0+0.3</f>
        <v>0.3</v>
      </c>
      <c r="I338" s="19">
        <f>0+0+0.2+0</f>
        <v>0.2</v>
      </c>
      <c r="J338" s="19">
        <f>0+0.4+0</f>
        <v>0.4</v>
      </c>
      <c r="K338" s="19">
        <f>0.5+0+0.3</f>
        <v>0.8</v>
      </c>
      <c r="L338" s="19">
        <f>0.1+0.1+0</f>
        <v>0.2</v>
      </c>
      <c r="M338" s="19"/>
    </row>
    <row r="339" spans="1:15" s="22" customFormat="1" ht="15" thickBot="1" x14ac:dyDescent="0.4">
      <c r="A339" s="17">
        <v>45825</v>
      </c>
      <c r="B339" s="14" t="s">
        <v>193</v>
      </c>
      <c r="D339" s="22" t="s">
        <v>57</v>
      </c>
      <c r="E339" s="23">
        <v>1</v>
      </c>
      <c r="F339" s="23">
        <v>2</v>
      </c>
      <c r="G339" s="23">
        <v>2</v>
      </c>
      <c r="H339" s="23">
        <v>4</v>
      </c>
      <c r="I339" s="23">
        <v>4</v>
      </c>
      <c r="J339" s="23">
        <v>3</v>
      </c>
      <c r="K339" s="23">
        <v>3</v>
      </c>
      <c r="L339" s="23">
        <v>3</v>
      </c>
      <c r="M339" s="23"/>
    </row>
    <row r="340" spans="1:15" s="26" customFormat="1" ht="15" thickBot="1" x14ac:dyDescent="0.4">
      <c r="A340" s="17">
        <v>45825</v>
      </c>
      <c r="B340" s="14" t="s">
        <v>193</v>
      </c>
      <c r="D340" s="26" t="s">
        <v>58</v>
      </c>
      <c r="E340" s="27">
        <f>IF(E339=0, "",
  LOOKUP(E338/E339,
    {0,0.2000001,0.3500001,0.5000001,0.7000001,0.8,0.8000001},
    {1,2,5,7,7,7.5,8}
  )
)</f>
        <v>1</v>
      </c>
      <c r="F340" s="27">
        <f>IF(F339=0, "",
  LOOKUP(F338/F339,
    {0,0.2000001,0.3500001,0.5000001,0.7000001,0.8,0.8000001},
    {1,2,5,7,7,7.5,8}
  )
)</f>
        <v>5</v>
      </c>
      <c r="G340" s="27">
        <f>IF(G339=0, "",
  LOOKUP(G338/G339,
    {0,0.2000001,0.3500001,0.5000001,0.7000001,0.8,0.8000001},
    {1,2,5,7,7,7.5,8}
  )
)</f>
        <v>1</v>
      </c>
      <c r="H340" s="27">
        <f>IF(H339=0, "",
  LOOKUP(H338/H339,
    {0,0.2000001,0.3500001,0.5000001,0.7000001,0.8,0.8000001},
    {1,2,5,7,7,7.5,8}
  )
)</f>
        <v>1</v>
      </c>
      <c r="I340" s="27">
        <f>IF(I339=0, "",
  LOOKUP(I338/I339,
    {0,0.2000001,0.3500001,0.5000001,0.7000001,0.8,0.8000001},
    {1,2,5,7,7,7.5,8}
  )
)</f>
        <v>1</v>
      </c>
      <c r="J340" s="27">
        <f>IF(J339=0, "",
  LOOKUP(J338/J339,
    {0,0.2000001,0.3500001,0.5000001,0.7000001,0.8,0.8000001},
    {1,2,5,7,7,7.5,8}
  )
)</f>
        <v>1</v>
      </c>
      <c r="K340" s="27">
        <f>IF(K339=0, "",
  LOOKUP(K338/K339,
    {0,0.2000001,0.3500001,0.5000001,0.7000001,0.8,0.8000001},
    {1,2,5,7,7,7.5,8}
  )
)</f>
        <v>2</v>
      </c>
      <c r="L340" s="27">
        <f>IF(L339=0, "",
  LOOKUP(L338/L339,
    {0,0.2000001,0.3500001,0.5000001,0.7000001,0.8,0.8000001},
    {1,2,5,7,7,7.5,8}
  )
)</f>
        <v>1</v>
      </c>
      <c r="M340" s="27"/>
      <c r="N340" s="27">
        <f>AVERAGE(E340:L340)</f>
        <v>1.625</v>
      </c>
      <c r="O340" s="34" t="s">
        <v>195</v>
      </c>
    </row>
    <row r="341" spans="1:15" ht="15" thickBot="1" x14ac:dyDescent="0.4"/>
    <row r="342" spans="1:15" s="18" customFormat="1" ht="15" thickBot="1" x14ac:dyDescent="0.4">
      <c r="A342" s="17">
        <v>45825</v>
      </c>
      <c r="B342" s="14" t="s">
        <v>196</v>
      </c>
      <c r="D342" s="30" t="s">
        <v>62</v>
      </c>
      <c r="E342" s="19">
        <f>1+0.5</f>
        <v>1.5</v>
      </c>
      <c r="F342" s="19">
        <v>1</v>
      </c>
      <c r="G342" s="19">
        <f>1+1</f>
        <v>2</v>
      </c>
      <c r="H342" s="19">
        <f>1+0.5+0.5+0.3</f>
        <v>2.2999999999999998</v>
      </c>
      <c r="I342" s="19">
        <f>0.5+0.5+0.4+0</f>
        <v>1.4</v>
      </c>
      <c r="J342" s="19">
        <f>0+0.4+0.5</f>
        <v>0.9</v>
      </c>
      <c r="K342" s="19">
        <f>0.2+0+0.5</f>
        <v>0.7</v>
      </c>
      <c r="L342" s="19">
        <f>0+0.3+0</f>
        <v>0.3</v>
      </c>
      <c r="M342" s="19"/>
    </row>
    <row r="343" spans="1:15" s="22" customFormat="1" ht="15" thickBot="1" x14ac:dyDescent="0.4">
      <c r="A343" s="17">
        <v>45825</v>
      </c>
      <c r="B343" s="14" t="s">
        <v>196</v>
      </c>
      <c r="D343" s="22" t="s">
        <v>57</v>
      </c>
      <c r="E343" s="23">
        <v>2</v>
      </c>
      <c r="F343" s="23">
        <v>2</v>
      </c>
      <c r="G343" s="23">
        <v>2</v>
      </c>
      <c r="H343" s="23">
        <v>4</v>
      </c>
      <c r="I343" s="23">
        <v>4</v>
      </c>
      <c r="J343" s="23">
        <v>3</v>
      </c>
      <c r="K343" s="23">
        <v>3</v>
      </c>
      <c r="L343" s="23">
        <v>3</v>
      </c>
      <c r="M343" s="23"/>
    </row>
    <row r="344" spans="1:15" s="26" customFormat="1" ht="15" thickBot="1" x14ac:dyDescent="0.4">
      <c r="A344" s="17">
        <v>45825</v>
      </c>
      <c r="B344" s="14" t="s">
        <v>196</v>
      </c>
      <c r="D344" s="26" t="s">
        <v>58</v>
      </c>
      <c r="E344" s="27">
        <f>IF(E343=0, "",
  LOOKUP(E342/E343,
    {0,0.2000001,0.3500001,0.5000001,0.7000001,0.8,0.8000001},
    {1,2,5,7,7,7.5,8}
  )
)</f>
        <v>7</v>
      </c>
      <c r="F344" s="27">
        <f>IF(F343=0, "",
  LOOKUP(F342/F343,
    {0,0.2000001,0.3500001,0.5000001,0.7000001,0.8,0.8000001},
    {1,2,5,7,7,7.5,8}
  )
)</f>
        <v>5</v>
      </c>
      <c r="G344" s="27">
        <f>IF(G343=0, "",
  LOOKUP(G342/G343,
    {0,0.2000001,0.3500001,0.5000001,0.7000001,0.8,0.8000001},
    {1,2,5,7,7,7.5,8}
  )
)</f>
        <v>8</v>
      </c>
      <c r="H344" s="27">
        <f>IF(H343=0, "",
  LOOKUP(H342/H343,
    {0,0.2000001,0.3500001,0.5000001,0.7000001,0.8,0.8000001},
    {1,2,5,7,7,7.5,8}
  )
)</f>
        <v>7</v>
      </c>
      <c r="I344" s="27">
        <f>IF(I343=0, "",
  LOOKUP(I342/I343,
    {0,0.2000001,0.3500001,0.5000001,0.7000001,0.8,0.8000001},
    {1,2,5,7,7,7.5,8}
  )
)</f>
        <v>2</v>
      </c>
      <c r="J344" s="27">
        <f>IF(J343=0, "",
  LOOKUP(J342/J343,
    {0,0.2000001,0.3500001,0.5000001,0.7000001,0.8,0.8000001},
    {1,2,5,7,7,7.5,8}
  )
)</f>
        <v>2</v>
      </c>
      <c r="K344" s="27">
        <f>IF(K343=0, "",
  LOOKUP(K342/K343,
    {0,0.2000001,0.3500001,0.5000001,0.7000001,0.8,0.8000001},
    {1,2,5,7,7,7.5,8}
  )
)</f>
        <v>2</v>
      </c>
      <c r="L344" s="27">
        <f>IF(L343=0, "",
  LOOKUP(L342/L343,
    {0,0.2000001,0.3500001,0.5000001,0.7000001,0.8,0.8000001},
    {1,2,5,7,7,7.5,8}
  )
)</f>
        <v>1</v>
      </c>
      <c r="M344" s="27"/>
      <c r="N344" s="27">
        <f>AVERAGE(E344:L344)</f>
        <v>4.25</v>
      </c>
      <c r="O344" s="34" t="s">
        <v>197</v>
      </c>
    </row>
    <row r="345" spans="1:15" ht="15" thickBot="1" x14ac:dyDescent="0.4"/>
    <row r="346" spans="1:15" s="18" customFormat="1" ht="15" thickBot="1" x14ac:dyDescent="0.4">
      <c r="A346" s="17">
        <v>45825</v>
      </c>
      <c r="B346" s="14" t="s">
        <v>198</v>
      </c>
      <c r="D346" s="30" t="s">
        <v>62</v>
      </c>
      <c r="E346" s="19">
        <f>0.5+1</f>
        <v>1.5</v>
      </c>
      <c r="F346" s="19">
        <v>2</v>
      </c>
      <c r="G346" s="19">
        <f>1+1</f>
        <v>2</v>
      </c>
      <c r="H346" s="19">
        <f>0.5+0.8+0.8+0.6</f>
        <v>2.7</v>
      </c>
      <c r="I346" s="19">
        <f>1+0.7+0.7+1</f>
        <v>3.4</v>
      </c>
      <c r="J346" s="19">
        <f>0.7+0.6+0.6</f>
        <v>1.9</v>
      </c>
      <c r="K346" s="19">
        <f>0.6+0.6+0.6</f>
        <v>1.7999999999999998</v>
      </c>
      <c r="L346" s="19">
        <f>0.6+0.7+1</f>
        <v>2.2999999999999998</v>
      </c>
      <c r="M346" s="19"/>
    </row>
    <row r="347" spans="1:15" s="22" customFormat="1" ht="15" thickBot="1" x14ac:dyDescent="0.4">
      <c r="A347" s="17">
        <v>45825</v>
      </c>
      <c r="B347" s="14" t="s">
        <v>198</v>
      </c>
      <c r="D347" s="22" t="s">
        <v>57</v>
      </c>
      <c r="E347" s="23">
        <v>2</v>
      </c>
      <c r="F347" s="23">
        <v>2</v>
      </c>
      <c r="G347" s="23">
        <v>2</v>
      </c>
      <c r="H347" s="23">
        <v>4</v>
      </c>
      <c r="I347" s="23">
        <v>4</v>
      </c>
      <c r="J347" s="23">
        <v>3</v>
      </c>
      <c r="K347" s="23">
        <v>3</v>
      </c>
      <c r="L347" s="23">
        <v>3</v>
      </c>
      <c r="M347" s="23"/>
    </row>
    <row r="348" spans="1:15" s="26" customFormat="1" ht="15" thickBot="1" x14ac:dyDescent="0.4">
      <c r="A348" s="17">
        <v>45825</v>
      </c>
      <c r="B348" s="14" t="s">
        <v>198</v>
      </c>
      <c r="D348" s="26" t="s">
        <v>58</v>
      </c>
      <c r="E348" s="27">
        <f>IF(E347=0, "",
  LOOKUP(E346/E347,
    {0,0.2000001,0.3500001,0.5000001,0.7000001,0.8,0.8000001},
    {1,2,5,7,7,7.5,8}
  )
)</f>
        <v>7</v>
      </c>
      <c r="F348" s="27">
        <f>IF(F347=0, "",
  LOOKUP(F346/F347,
    {0,0.2000001,0.3500001,0.5000001,0.7000001,0.8,0.8000001},
    {1,2,5,7,7,7.5,8}
  )
)</f>
        <v>8</v>
      </c>
      <c r="G348" s="27">
        <f>IF(G347=0, "",
  LOOKUP(G346/G347,
    {0,0.2000001,0.3500001,0.5000001,0.7000001,0.8,0.8000001},
    {1,2,5,7,7,7.5,8}
  )
)</f>
        <v>8</v>
      </c>
      <c r="H348" s="27">
        <f>IF(H347=0, "",
  LOOKUP(H346/H347,
    {0,0.2000001,0.3500001,0.5000001,0.7000001,0.8,0.8000001},
    {1,2,5,7,7,7.5,8}
  )
)</f>
        <v>7</v>
      </c>
      <c r="I348" s="27">
        <f>IF(I347=0, "",
  LOOKUP(I346/I347,
    {0,0.2000001,0.3500001,0.5000001,0.7000001,0.8,0.8000001},
    {1,2,5,7,7,7.5,8}
  )
)</f>
        <v>8</v>
      </c>
      <c r="J348" s="27">
        <f>IF(J347=0, "",
  LOOKUP(J346/J347,
    {0,0.2000001,0.3500001,0.5000001,0.7000001,0.8,0.8000001},
    {1,2,5,7,7,7.5,8}
  )
)</f>
        <v>7</v>
      </c>
      <c r="K348" s="27">
        <f>IF(K347=0, "",
  LOOKUP(K346/K347,
    {0,0.2000001,0.3500001,0.5000001,0.7000001,0.8,0.8000001},
    {1,2,5,7,7,7.5,8}
  )
)</f>
        <v>7</v>
      </c>
      <c r="L348" s="27">
        <f>IF(L347=0, "",
  LOOKUP(L346/L347,
    {0,0.2000001,0.3500001,0.5000001,0.7000001,0.8,0.8000001},
    {1,2,5,7,7,7.5,8}
  )
)</f>
        <v>7</v>
      </c>
      <c r="M348" s="27"/>
      <c r="N348" s="27">
        <f>AVERAGE(E348:L348)</f>
        <v>7.375</v>
      </c>
      <c r="O348" s="34" t="s">
        <v>199</v>
      </c>
    </row>
    <row r="349" spans="1:15" ht="15" thickBot="1" x14ac:dyDescent="0.4"/>
    <row r="350" spans="1:15" s="18" customFormat="1" ht="15" thickBot="1" x14ac:dyDescent="0.4">
      <c r="A350" s="17">
        <v>45825</v>
      </c>
      <c r="B350" s="14" t="s">
        <v>200</v>
      </c>
      <c r="D350" s="30" t="s">
        <v>62</v>
      </c>
      <c r="E350" s="19">
        <f>0.4+0.8</f>
        <v>1.2000000000000002</v>
      </c>
      <c r="F350" s="19">
        <v>0.5</v>
      </c>
      <c r="G350" s="19">
        <v>0</v>
      </c>
      <c r="H350" s="19">
        <f>0.3+0+0.4+0.4</f>
        <v>1.1000000000000001</v>
      </c>
      <c r="I350" s="19">
        <f>0.5+0.6+0.6+0.8</f>
        <v>2.5</v>
      </c>
      <c r="J350" s="19">
        <f>0+0.5+0.5</f>
        <v>1</v>
      </c>
      <c r="K350" s="19">
        <f>0.4+0.4+0.4</f>
        <v>1.2000000000000002</v>
      </c>
      <c r="L350" s="19">
        <f>0.2+0.3+0.3</f>
        <v>0.8</v>
      </c>
      <c r="M350" s="19"/>
    </row>
    <row r="351" spans="1:15" s="22" customFormat="1" ht="15" thickBot="1" x14ac:dyDescent="0.4">
      <c r="A351" s="17">
        <v>45825</v>
      </c>
      <c r="B351" s="14" t="s">
        <v>200</v>
      </c>
      <c r="D351" s="22" t="s">
        <v>57</v>
      </c>
      <c r="E351" s="23">
        <v>2</v>
      </c>
      <c r="F351" s="23">
        <v>2</v>
      </c>
      <c r="G351" s="23">
        <v>2</v>
      </c>
      <c r="H351" s="23">
        <v>4</v>
      </c>
      <c r="I351" s="23">
        <v>4</v>
      </c>
      <c r="J351" s="23">
        <v>3</v>
      </c>
      <c r="K351" s="23">
        <v>3</v>
      </c>
      <c r="L351" s="23">
        <v>3</v>
      </c>
      <c r="M351" s="23"/>
    </row>
    <row r="352" spans="1:15" s="26" customFormat="1" ht="15" thickBot="1" x14ac:dyDescent="0.4">
      <c r="A352" s="17">
        <v>45825</v>
      </c>
      <c r="B352" s="14" t="s">
        <v>200</v>
      </c>
      <c r="D352" s="26" t="s">
        <v>58</v>
      </c>
      <c r="E352" s="27">
        <f>IF(E351=0, "",
  LOOKUP(E350/E351,
    {0,0.2000001,0.3500001,0.5000001,0.7000001,0.8,0.8000001},
    {1,2,5,7,7,7.5,8}
  )
)</f>
        <v>7</v>
      </c>
      <c r="F352" s="27">
        <f>IF(F351=0, "",
  LOOKUP(F350/F351,
    {0,0.2000001,0.3500001,0.5000001,0.7000001,0.8,0.8000001},
    {1,2,5,7,7,7.5,8}
  )
)</f>
        <v>2</v>
      </c>
      <c r="G352" s="27">
        <f>IF(G351=0, "",
  LOOKUP(G350/G351,
    {0,0.2000001,0.3500001,0.5000001,0.7000001,0.8,0.8000001},
    {1,2,5,7,7,7.5,8}
  )
)</f>
        <v>1</v>
      </c>
      <c r="H352" s="27">
        <f>IF(H351=0, "",
  LOOKUP(H350/H351,
    {0,0.2000001,0.3500001,0.5000001,0.7000001,0.8,0.8000001},
    {1,2,5,7,7,7.5,8}
  )
)</f>
        <v>2</v>
      </c>
      <c r="I352" s="27">
        <f>IF(I351=0, "",
  LOOKUP(I350/I351,
    {0,0.2000001,0.3500001,0.5000001,0.7000001,0.8,0.8000001},
    {1,2,5,7,7,7.5,8}
  )
)</f>
        <v>7</v>
      </c>
      <c r="J352" s="27">
        <f>IF(J351=0, "",
  LOOKUP(J350/J351,
    {0,0.2000001,0.3500001,0.5000001,0.7000001,0.8,0.8000001},
    {1,2,5,7,7,7.5,8}
  )
)</f>
        <v>2</v>
      </c>
      <c r="K352" s="27">
        <f>IF(K351=0, "",
  LOOKUP(K350/K351,
    {0,0.2000001,0.3500001,0.5000001,0.7000001,0.8,0.8000001},
    {1,2,5,7,7,7.5,8}
  )
)</f>
        <v>5</v>
      </c>
      <c r="L352" s="27">
        <f>IF(L351=0, "",
  LOOKUP(L350/L351,
    {0,0.2000001,0.3500001,0.5000001,0.7000001,0.8,0.8000001},
    {1,2,5,7,7,7.5,8}
  )
)</f>
        <v>2</v>
      </c>
      <c r="M352" s="27"/>
      <c r="N352" s="27">
        <f>AVERAGE(E352:L352)</f>
        <v>3.5</v>
      </c>
      <c r="O352" s="34" t="s">
        <v>201</v>
      </c>
    </row>
    <row r="353" spans="1:15" ht="15" thickBot="1" x14ac:dyDescent="0.4"/>
    <row r="354" spans="1:15" s="18" customFormat="1" ht="15" thickBot="1" x14ac:dyDescent="0.4">
      <c r="A354" s="17">
        <v>45827</v>
      </c>
      <c r="B354" s="14" t="s">
        <v>202</v>
      </c>
      <c r="D354" s="30" t="s">
        <v>62</v>
      </c>
      <c r="E354" s="32">
        <f>0.6+0.6</f>
        <v>1.2</v>
      </c>
      <c r="F354" s="19">
        <v>1.5</v>
      </c>
      <c r="G354" s="19">
        <v>1</v>
      </c>
      <c r="H354" s="19">
        <f>0.6+0.2+0.5+0.2</f>
        <v>1.5</v>
      </c>
      <c r="I354" s="19">
        <f>0.5+0.6+0.6+0.5</f>
        <v>2.2000000000000002</v>
      </c>
      <c r="J354" s="19">
        <f>0+0.7+0.5</f>
        <v>1.2</v>
      </c>
      <c r="K354" s="19">
        <f>0.4+0.6+0.3</f>
        <v>1.3</v>
      </c>
      <c r="L354" s="19">
        <f>0+0.5+0.3</f>
        <v>0.8</v>
      </c>
      <c r="M354" s="19"/>
    </row>
    <row r="355" spans="1:15" s="22" customFormat="1" ht="15" thickBot="1" x14ac:dyDescent="0.4">
      <c r="A355" s="17">
        <v>45827</v>
      </c>
      <c r="B355" s="14" t="s">
        <v>202</v>
      </c>
      <c r="D355" s="22" t="s">
        <v>57</v>
      </c>
      <c r="E355" s="23">
        <v>2</v>
      </c>
      <c r="F355" s="23">
        <v>2</v>
      </c>
      <c r="G355" s="23">
        <v>1</v>
      </c>
      <c r="H355" s="23">
        <v>4</v>
      </c>
      <c r="I355" s="23">
        <v>4</v>
      </c>
      <c r="J355" s="23">
        <v>3</v>
      </c>
      <c r="K355" s="23">
        <v>3</v>
      </c>
      <c r="L355" s="23">
        <v>3</v>
      </c>
      <c r="M355" s="23"/>
    </row>
    <row r="356" spans="1:15" s="26" customFormat="1" ht="15" thickBot="1" x14ac:dyDescent="0.4">
      <c r="A356" s="17">
        <v>45827</v>
      </c>
      <c r="B356" s="14" t="s">
        <v>202</v>
      </c>
      <c r="D356" s="26" t="s">
        <v>58</v>
      </c>
      <c r="E356" s="27">
        <f>IF(E355=0, "",
  LOOKUP(E354/E355,
    {0,0.2000001,0.3500001,0.5000001,0.7000001,0.8,0.8000001},
    {1,2,5,7,7,7.5,8}
  )
)</f>
        <v>7</v>
      </c>
      <c r="F356" s="27">
        <f>IF(F355=0, "",
  LOOKUP(F354/F355,
    {0,0.2000001,0.3500001,0.5000001,0.7000001,0.8,0.8000001},
    {1,2,5,7,7,7.5,8}
  )
)</f>
        <v>7</v>
      </c>
      <c r="G356" s="27">
        <f>IF(G355=0, "",
  LOOKUP(G354/G355,
    {0,0.2000001,0.3500001,0.5000001,0.7000001,0.8,0.8000001},
    {1,2,5,7,7,7.5,8}
  )
)</f>
        <v>8</v>
      </c>
      <c r="H356" s="27">
        <f>IF(H355=0, "",
  LOOKUP(H354/H355,
    {0,0.2000001,0.3500001,0.5000001,0.7000001,0.8,0.8000001},
    {1,2,5,7,7,7.5,8}
  )
)</f>
        <v>5</v>
      </c>
      <c r="I356" s="27">
        <f>IF(I355=0, "",
  LOOKUP(I354/I355,
    {0,0.2000001,0.3500001,0.5000001,0.7000001,0.8,0.8000001},
    {1,2,5,7,7,7.5,8}
  )
)</f>
        <v>7</v>
      </c>
      <c r="J356" s="27">
        <f>IF(J355=0, "",
  LOOKUP(J354/J355,
    {0,0.2000001,0.3500001,0.5000001,0.7000001,0.8,0.8000001},
    {1,2,5,7,7,7.5,8}
  )
)</f>
        <v>5</v>
      </c>
      <c r="K356" s="27">
        <f>IF(K355=0, "",
  LOOKUP(K354/K355,
    {0,0.2000001,0.3500001,0.5000001,0.7000001,0.8,0.8000001},
    {1,2,5,7,7,7.5,8}
  )
)</f>
        <v>5</v>
      </c>
      <c r="L356" s="27">
        <f>IF(L355=0, "",
  LOOKUP(L354/L355,
    {0,0.2000001,0.3500001,0.5000001,0.7000001,0.8,0.8000001},
    {1,2,5,7,7,7.5,8}
  )
)</f>
        <v>2</v>
      </c>
      <c r="M356" s="27"/>
      <c r="N356" s="27">
        <f>AVERAGE(E356:L356)</f>
        <v>5.75</v>
      </c>
      <c r="O356" s="34" t="s">
        <v>203</v>
      </c>
    </row>
    <row r="357" spans="1:15" ht="15" thickBot="1" x14ac:dyDescent="0.4"/>
    <row r="358" spans="1:15" s="18" customFormat="1" ht="15" thickBot="1" x14ac:dyDescent="0.4">
      <c r="A358" s="17">
        <v>45827</v>
      </c>
      <c r="B358" s="14" t="s">
        <v>204</v>
      </c>
      <c r="D358" s="30" t="s">
        <v>62</v>
      </c>
      <c r="E358" s="32">
        <f>0.5+0.5</f>
        <v>1</v>
      </c>
      <c r="F358" s="19">
        <v>1.5</v>
      </c>
      <c r="G358" s="19">
        <v>0</v>
      </c>
      <c r="H358" s="19">
        <f>0.6+0.6+0.5+0.3</f>
        <v>2</v>
      </c>
      <c r="I358" s="19">
        <f>0.5+0.4+0.6+0.5</f>
        <v>2</v>
      </c>
      <c r="J358" s="19">
        <f>0.4+0.4+0.7</f>
        <v>1.5</v>
      </c>
      <c r="K358" s="19">
        <f>0.5+0.5+1</f>
        <v>2</v>
      </c>
      <c r="L358" s="19">
        <f>0.6+0.6+0.7</f>
        <v>1.9</v>
      </c>
      <c r="M358" s="19"/>
    </row>
    <row r="359" spans="1:15" s="22" customFormat="1" ht="15" thickBot="1" x14ac:dyDescent="0.4">
      <c r="A359" s="17">
        <v>45827</v>
      </c>
      <c r="B359" s="14" t="s">
        <v>204</v>
      </c>
      <c r="D359" s="22" t="s">
        <v>57</v>
      </c>
      <c r="E359" s="23">
        <v>2</v>
      </c>
      <c r="F359" s="23">
        <v>2</v>
      </c>
      <c r="G359" s="23">
        <v>1</v>
      </c>
      <c r="H359" s="23">
        <v>4</v>
      </c>
      <c r="I359" s="23">
        <v>4</v>
      </c>
      <c r="J359" s="23">
        <v>3</v>
      </c>
      <c r="K359" s="23">
        <v>3</v>
      </c>
      <c r="L359" s="23">
        <v>3</v>
      </c>
      <c r="M359" s="23"/>
    </row>
    <row r="360" spans="1:15" s="26" customFormat="1" ht="15" thickBot="1" x14ac:dyDescent="0.4">
      <c r="A360" s="17">
        <v>45827</v>
      </c>
      <c r="B360" s="14" t="s">
        <v>204</v>
      </c>
      <c r="D360" s="26" t="s">
        <v>58</v>
      </c>
      <c r="E360" s="27">
        <f>IF(E359=0, "",
  LOOKUP(E358/E359,
    {0,0.2000001,0.3500001,0.5000001,0.7000001,0.8,0.8000001},
    {1,2,5,7,7,7.5,8}
  )
)</f>
        <v>5</v>
      </c>
      <c r="F360" s="27">
        <f>IF(F359=0, "",
  LOOKUP(F358/F359,
    {0,0.2000001,0.3500001,0.5000001,0.7000001,0.8,0.8000001},
    {1,2,5,7,7,7.5,8}
  )
)</f>
        <v>7</v>
      </c>
      <c r="G360" s="27">
        <f>IF(G359=0, "",
  LOOKUP(G358/G359,
    {0,0.2000001,0.3500001,0.5000001,0.7000001,0.8,0.8000001},
    {1,2,5,7,7,7.5,8}
  )
)</f>
        <v>1</v>
      </c>
      <c r="H360" s="27">
        <f>IF(H359=0, "",
  LOOKUP(H358/H359,
    {0,0.2000001,0.3500001,0.5000001,0.7000001,0.8,0.8000001},
    {1,2,5,7,7,7.5,8}
  )
)</f>
        <v>5</v>
      </c>
      <c r="I360" s="27">
        <f>IF(I359=0, "",
  LOOKUP(I358/I359,
    {0,0.2000001,0.3500001,0.5000001,0.7000001,0.8,0.8000001},
    {1,2,5,7,7,7.5,8}
  )
)</f>
        <v>5</v>
      </c>
      <c r="J360" s="27">
        <f>IF(J359=0, "",
  LOOKUP(J358/J359,
    {0,0.2000001,0.3500001,0.5000001,0.7000001,0.8,0.8000001},
    {1,2,5,7,7,7.5,8}
  )
)</f>
        <v>5</v>
      </c>
      <c r="K360" s="27">
        <f>IF(K359=0, "",
  LOOKUP(K358/K359,
    {0,0.2000001,0.3500001,0.5000001,0.7000001,0.8,0.8000001},
    {1,2,5,7,7,7.5,8}
  )
)</f>
        <v>7</v>
      </c>
      <c r="L360" s="27">
        <f>IF(L359=0, "",
  LOOKUP(L358/L359,
    {0,0.2000001,0.3500001,0.5000001,0.7000001,0.8,0.8000001},
    {1,2,5,7,7,7.5,8}
  )
)</f>
        <v>7</v>
      </c>
      <c r="M360" s="27"/>
      <c r="N360" s="27">
        <f>AVERAGE(E360:L360)</f>
        <v>5.25</v>
      </c>
      <c r="O360" s="34" t="s">
        <v>205</v>
      </c>
    </row>
    <row r="361" spans="1:15" ht="15" thickBot="1" x14ac:dyDescent="0.4"/>
    <row r="362" spans="1:15" s="18" customFormat="1" ht="15" thickBot="1" x14ac:dyDescent="0.4">
      <c r="A362" s="17">
        <v>45828</v>
      </c>
      <c r="B362" s="14" t="s">
        <v>206</v>
      </c>
      <c r="D362" s="30" t="s">
        <v>62</v>
      </c>
      <c r="E362" s="32">
        <f>1+0+0</f>
        <v>1</v>
      </c>
      <c r="F362" s="19">
        <v>0.5</v>
      </c>
      <c r="G362" s="19">
        <v>0</v>
      </c>
      <c r="H362" s="19">
        <f>1+0.4+0.2+0.1</f>
        <v>1.7</v>
      </c>
      <c r="I362" s="19">
        <f>0.5+0.4+0.3+0.5</f>
        <v>1.7</v>
      </c>
      <c r="J362" s="19">
        <f>0+0.4+1</f>
        <v>1.4</v>
      </c>
      <c r="K362" s="19">
        <f>0.6+0.6+0</f>
        <v>1.2</v>
      </c>
      <c r="L362" s="19">
        <f>0.2+0+0.2</f>
        <v>0.4</v>
      </c>
      <c r="M362" s="19"/>
    </row>
    <row r="363" spans="1:15" s="22" customFormat="1" ht="15" thickBot="1" x14ac:dyDescent="0.4">
      <c r="A363" s="17">
        <v>45828</v>
      </c>
      <c r="B363" s="14" t="s">
        <v>206</v>
      </c>
      <c r="D363" s="22" t="s">
        <v>57</v>
      </c>
      <c r="E363" s="23">
        <v>3</v>
      </c>
      <c r="F363" s="23">
        <v>2</v>
      </c>
      <c r="G363" s="23">
        <v>1</v>
      </c>
      <c r="H363" s="23">
        <v>4</v>
      </c>
      <c r="I363" s="23">
        <v>4</v>
      </c>
      <c r="J363" s="23">
        <v>3</v>
      </c>
      <c r="K363" s="23">
        <v>3</v>
      </c>
      <c r="L363" s="23">
        <v>3</v>
      </c>
      <c r="M363" s="23"/>
    </row>
    <row r="364" spans="1:15" s="26" customFormat="1" ht="15" thickBot="1" x14ac:dyDescent="0.4">
      <c r="A364" s="17">
        <v>45828</v>
      </c>
      <c r="B364" s="14" t="s">
        <v>206</v>
      </c>
      <c r="D364" s="26" t="s">
        <v>58</v>
      </c>
      <c r="E364" s="27">
        <f>IF(E363=0, "",
  LOOKUP(E362/E363,
    {0,0.2000001,0.3500001,0.5000001,0.7000001,0.8,0.8000001},
    {1,2,5,7,7,7.5,8}
  )
)</f>
        <v>2</v>
      </c>
      <c r="F364" s="27">
        <f>IF(F363=0, "",
  LOOKUP(F362/F363,
    {0,0.2000001,0.3500001,0.5000001,0.7000001,0.8,0.8000001},
    {1,2,5,7,7,7.5,8}
  )
)</f>
        <v>2</v>
      </c>
      <c r="G364" s="27">
        <f>IF(G363=0, "",
  LOOKUP(G362/G363,
    {0,0.2000001,0.3500001,0.5000001,0.7000001,0.8,0.8000001},
    {1,2,5,7,7,7.5,8}
  )
)</f>
        <v>1</v>
      </c>
      <c r="H364" s="27">
        <f>IF(H363=0, "",
  LOOKUP(H362/H363,
    {0,0.2000001,0.3500001,0.5000001,0.7000001,0.8,0.8000001},
    {1,2,5,7,7,7.5,8}
  )
)</f>
        <v>5</v>
      </c>
      <c r="I364" s="27">
        <f>IF(I363=0, "",
  LOOKUP(I362/I363,
    {0,0.2000001,0.3500001,0.5000001,0.7000001,0.8,0.8000001},
    {1,2,5,7,7,7.5,8}
  )
)</f>
        <v>5</v>
      </c>
      <c r="J364" s="27">
        <f>IF(J363=0, "",
  LOOKUP(J362/J363,
    {0,0.2000001,0.3500001,0.5000001,0.7000001,0.8,0.8000001},
    {1,2,5,7,7,7.5,8}
  )
)</f>
        <v>5</v>
      </c>
      <c r="K364" s="27">
        <f>IF(K363=0, "",
  LOOKUP(K362/K363,
    {0,0.2000001,0.3500001,0.5000001,0.7000001,0.8,0.8000001},
    {1,2,5,7,7,7.5,8}
  )
)</f>
        <v>5</v>
      </c>
      <c r="L364" s="27">
        <f>IF(L363=0, "",
  LOOKUP(L362/L363,
    {0,0.2000001,0.3500001,0.5000001,0.7000001,0.8,0.8000001},
    {1,2,5,7,7,7.5,8}
  )
)</f>
        <v>1</v>
      </c>
      <c r="M364" s="27"/>
      <c r="N364" s="27">
        <f>AVERAGE(E364:L364)</f>
        <v>3.25</v>
      </c>
      <c r="O364" s="34" t="s">
        <v>207</v>
      </c>
    </row>
    <row r="365" spans="1:15" ht="15" thickBot="1" x14ac:dyDescent="0.4"/>
    <row r="366" spans="1:15" s="18" customFormat="1" ht="15" thickBot="1" x14ac:dyDescent="0.4">
      <c r="A366" s="17">
        <v>45828</v>
      </c>
      <c r="B366" s="14" t="s">
        <v>208</v>
      </c>
      <c r="D366" s="30" t="s">
        <v>62</v>
      </c>
      <c r="E366" s="32">
        <f>1+0.7+0.2</f>
        <v>1.9</v>
      </c>
      <c r="F366" s="19">
        <v>1.5</v>
      </c>
      <c r="G366" s="19">
        <v>0.6</v>
      </c>
      <c r="H366" s="19">
        <f>1+0.5+0.7+0+0.5</f>
        <v>2.7</v>
      </c>
      <c r="I366" s="19">
        <f>0.7+1+0.3+0.7</f>
        <v>2.7</v>
      </c>
      <c r="J366" s="19">
        <f>0+0.6+0.8</f>
        <v>1.4</v>
      </c>
      <c r="K366" s="19">
        <f>0.7+0.1+0</f>
        <v>0.79999999999999993</v>
      </c>
      <c r="L366" s="19">
        <f>0.3+0+0.8+0.3</f>
        <v>1.4000000000000001</v>
      </c>
      <c r="M366" s="19"/>
    </row>
    <row r="367" spans="1:15" s="22" customFormat="1" ht="15" thickBot="1" x14ac:dyDescent="0.4">
      <c r="A367" s="17">
        <v>45828</v>
      </c>
      <c r="B367" s="14" t="s">
        <v>208</v>
      </c>
      <c r="D367" s="22" t="s">
        <v>57</v>
      </c>
      <c r="E367" s="23">
        <v>3</v>
      </c>
      <c r="F367" s="23">
        <v>2</v>
      </c>
      <c r="G367" s="23">
        <v>1</v>
      </c>
      <c r="H367" s="23">
        <v>5</v>
      </c>
      <c r="I367" s="23">
        <v>4</v>
      </c>
      <c r="J367" s="23">
        <v>3</v>
      </c>
      <c r="K367" s="23">
        <v>3</v>
      </c>
      <c r="L367" s="23">
        <v>4</v>
      </c>
      <c r="M367" s="23"/>
    </row>
    <row r="368" spans="1:15" s="26" customFormat="1" ht="15" thickBot="1" x14ac:dyDescent="0.4">
      <c r="A368" s="17">
        <v>45828</v>
      </c>
      <c r="B368" s="14" t="s">
        <v>208</v>
      </c>
      <c r="D368" s="26" t="s">
        <v>58</v>
      </c>
      <c r="E368" s="27">
        <f>IF(E367=0, "",
  LOOKUP(E366/E367,
    {0,0.2000001,0.3500001,0.5000001,0.7000001,0.8,0.8000001},
    {1,2,5,7,7,7.5,8}
  )
)</f>
        <v>7</v>
      </c>
      <c r="F368" s="27">
        <f>IF(F367=0, "",
  LOOKUP(F366/F367,
    {0,0.2000001,0.3500001,0.5000001,0.7000001,0.8,0.8000001},
    {1,2,5,7,7,7.5,8}
  )
)</f>
        <v>7</v>
      </c>
      <c r="G368" s="27">
        <f>IF(G367=0, "",
  LOOKUP(G366/G367,
    {0,0.2000001,0.3500001,0.5000001,0.7000001,0.8,0.8000001},
    {1,2,5,7,7,7.5,8}
  )
)</f>
        <v>7</v>
      </c>
      <c r="H368" s="27">
        <f>IF(H367=0, "",
  LOOKUP(H366/H367,
    {0,0.2000001,0.3500001,0.5000001,0.7000001,0.8,0.8000001},
    {1,2,5,7,7,7.5,8}
  )
)</f>
        <v>7</v>
      </c>
      <c r="I368" s="27">
        <f>IF(I367=0, "",
  LOOKUP(I366/I367,
    {0,0.2000001,0.3500001,0.5000001,0.7000001,0.8,0.8000001},
    {1,2,5,7,7,7.5,8}
  )
)</f>
        <v>7</v>
      </c>
      <c r="J368" s="27">
        <f>IF(J367=0, "",
  LOOKUP(J366/J367,
    {0,0.2000001,0.3500001,0.5000001,0.7000001,0.8,0.8000001},
    {1,2,5,7,7,7.5,8}
  )
)</f>
        <v>5</v>
      </c>
      <c r="K368" s="27">
        <f>IF(K367=0, "",
  LOOKUP(K366/K367,
    {0,0.2000001,0.3500001,0.5000001,0.7000001,0.8,0.8000001},
    {1,2,5,7,7,7.5,8}
  )
)</f>
        <v>2</v>
      </c>
      <c r="L368" s="27">
        <f>IF(L367=0, "",
  LOOKUP(L366/L367,
    {0,0.2000001,0.3500001,0.5000001,0.7000001,0.8,0.8000001},
    {1,2,5,7,7,7.5,8}
  )
)</f>
        <v>2</v>
      </c>
      <c r="M368" s="27"/>
      <c r="N368" s="27">
        <f>AVERAGE(E368:L368)</f>
        <v>5.5</v>
      </c>
      <c r="O368" s="34" t="s">
        <v>209</v>
      </c>
    </row>
    <row r="369" spans="1:15" ht="15" thickBot="1" x14ac:dyDescent="0.4"/>
    <row r="370" spans="1:15" s="18" customFormat="1" ht="15" thickBot="1" x14ac:dyDescent="0.4">
      <c r="A370" s="17">
        <v>45828</v>
      </c>
      <c r="B370" s="14" t="s">
        <v>42</v>
      </c>
      <c r="D370" s="30" t="s">
        <v>62</v>
      </c>
      <c r="E370" s="32">
        <f>0.4+0.6+0</f>
        <v>1</v>
      </c>
      <c r="F370" s="19">
        <v>0.5</v>
      </c>
      <c r="G370" s="19">
        <v>0</v>
      </c>
      <c r="H370" s="19">
        <f>0.3+0.4+0+0.3</f>
        <v>1</v>
      </c>
      <c r="I370" s="19">
        <f>0.3+0.4+0+0.7</f>
        <v>1.4</v>
      </c>
      <c r="J370" s="19">
        <f>0+0.6+0</f>
        <v>0.6</v>
      </c>
      <c r="K370" s="19">
        <f>0.2+0.6+0</f>
        <v>0.8</v>
      </c>
      <c r="L370" s="19">
        <f>0.3+0.3+0.3</f>
        <v>0.89999999999999991</v>
      </c>
      <c r="M370" s="19"/>
    </row>
    <row r="371" spans="1:15" s="22" customFormat="1" ht="15" thickBot="1" x14ac:dyDescent="0.4">
      <c r="A371" s="17">
        <v>45828</v>
      </c>
      <c r="B371" s="14" t="s">
        <v>42</v>
      </c>
      <c r="D371" s="22" t="s">
        <v>57</v>
      </c>
      <c r="E371" s="23">
        <v>3</v>
      </c>
      <c r="F371" s="23">
        <v>2</v>
      </c>
      <c r="G371" s="23">
        <v>1</v>
      </c>
      <c r="H371" s="23">
        <v>4</v>
      </c>
      <c r="I371" s="23">
        <v>4</v>
      </c>
      <c r="J371" s="23">
        <v>3</v>
      </c>
      <c r="K371" s="23">
        <v>3</v>
      </c>
      <c r="L371" s="23">
        <v>3</v>
      </c>
      <c r="M371" s="23"/>
    </row>
    <row r="372" spans="1:15" s="26" customFormat="1" ht="15" thickBot="1" x14ac:dyDescent="0.4">
      <c r="A372" s="17">
        <v>45828</v>
      </c>
      <c r="B372" s="14" t="s">
        <v>42</v>
      </c>
      <c r="D372" s="26" t="s">
        <v>58</v>
      </c>
      <c r="E372" s="27">
        <f>IF(E371=0, "",
  LOOKUP(E370/E371,
    {0,0.2000001,0.3500001,0.5000001,0.7000001,0.8,0.8000001},
    {1,2,5,7,7,7.5,8}
  )
)</f>
        <v>2</v>
      </c>
      <c r="F372" s="27">
        <f>IF(F371=0, "",
  LOOKUP(F370/F371,
    {0,0.2000001,0.3500001,0.5000001,0.7000001,0.8,0.8000001},
    {1,2,5,7,7,7.5,8}
  )
)</f>
        <v>2</v>
      </c>
      <c r="G372" s="27">
        <f>IF(G371=0, "",
  LOOKUP(G370/G371,
    {0,0.2000001,0.3500001,0.5000001,0.7000001,0.8,0.8000001},
    {1,2,5,7,7,7.5,8}
  )
)</f>
        <v>1</v>
      </c>
      <c r="H372" s="27">
        <f>IF(H371=0, "",
  LOOKUP(H370/H371,
    {0,0.2000001,0.3500001,0.5000001,0.7000001,0.8,0.8000001},
    {1,2,5,7,7,7.5,8}
  )
)</f>
        <v>2</v>
      </c>
      <c r="I372" s="27">
        <f>IF(I371=0, "",
  LOOKUP(I370/I371,
    {0,0.2000001,0.3500001,0.5000001,0.7000001,0.8,0.8000001},
    {1,2,5,7,7,7.5,8}
  )
)</f>
        <v>2</v>
      </c>
      <c r="J372" s="27">
        <f>IF(J371=0, "",
  LOOKUP(J370/J371,
    {0,0.2000001,0.3500001,0.5000001,0.7000001,0.8,0.8000001},
    {1,2,5,7,7,7.5,8}
  )
)</f>
        <v>1</v>
      </c>
      <c r="K372" s="27">
        <f>IF(K371=0, "",
  LOOKUP(K370/K371,
    {0,0.2000001,0.3500001,0.5000001,0.7000001,0.8,0.8000001},
    {1,2,5,7,7,7.5,8}
  )
)</f>
        <v>2</v>
      </c>
      <c r="L372" s="27">
        <f>IF(L371=0, "",
  LOOKUP(L370/L371,
    {0,0.2000001,0.3500001,0.5000001,0.7000001,0.8,0.8000001},
    {1,2,5,7,7,7.5,8}
  )
)</f>
        <v>2</v>
      </c>
      <c r="M372" s="27"/>
      <c r="N372" s="27">
        <f>AVERAGE(E372:L372)</f>
        <v>1.75</v>
      </c>
      <c r="O372" s="34" t="s">
        <v>197</v>
      </c>
    </row>
    <row r="373" spans="1:15" ht="15" thickBot="1" x14ac:dyDescent="0.4"/>
    <row r="374" spans="1:15" s="30" customFormat="1" ht="15" thickBot="1" x14ac:dyDescent="0.4">
      <c r="A374" s="31">
        <v>45829</v>
      </c>
      <c r="B374" s="42" t="s">
        <v>211</v>
      </c>
      <c r="D374" s="30" t="s">
        <v>62</v>
      </c>
      <c r="E374" s="32">
        <f>0.5+1+0</f>
        <v>1.5</v>
      </c>
      <c r="F374" s="32">
        <v>1.5</v>
      </c>
      <c r="G374" s="32">
        <v>0</v>
      </c>
      <c r="H374" s="32">
        <f>0.5+0.8+0+0.7</f>
        <v>2</v>
      </c>
      <c r="I374" s="32">
        <f>0.6+0.4+0.8+0.7</f>
        <v>2.5</v>
      </c>
      <c r="J374" s="32">
        <f>1+0+1</f>
        <v>2</v>
      </c>
      <c r="K374" s="32">
        <f>0.9+0.8+0.6</f>
        <v>2.3000000000000003</v>
      </c>
      <c r="L374" s="32">
        <f>0.5+0.9+1</f>
        <v>2.4</v>
      </c>
      <c r="M374" s="32"/>
    </row>
    <row r="375" spans="1:15" s="38" customFormat="1" ht="15" thickBot="1" x14ac:dyDescent="0.4">
      <c r="A375" s="31">
        <v>45829</v>
      </c>
      <c r="B375" s="42" t="s">
        <v>211</v>
      </c>
      <c r="D375" s="38" t="s">
        <v>57</v>
      </c>
      <c r="E375" s="39">
        <v>3</v>
      </c>
      <c r="F375" s="39">
        <v>2</v>
      </c>
      <c r="G375" s="39">
        <v>1</v>
      </c>
      <c r="H375" s="39">
        <v>4</v>
      </c>
      <c r="I375" s="39">
        <v>4</v>
      </c>
      <c r="J375" s="39">
        <v>3</v>
      </c>
      <c r="K375" s="39">
        <v>3</v>
      </c>
      <c r="L375" s="39">
        <v>3</v>
      </c>
      <c r="M375" s="39"/>
    </row>
    <row r="376" spans="1:15" s="40" customFormat="1" ht="15" thickBot="1" x14ac:dyDescent="0.4">
      <c r="A376" s="31">
        <v>45829</v>
      </c>
      <c r="B376" s="42" t="s">
        <v>211</v>
      </c>
      <c r="D376" s="40" t="s">
        <v>58</v>
      </c>
      <c r="E376" s="41">
        <f>IF(E375=0, "",
  LOOKUP(E374/E375,
    {0,0.2000001,0.3500001,0.5000001,0.7000001,0.8,0.8000001},
    {1,2,5,7,7,7.5,8}
  )
)</f>
        <v>5</v>
      </c>
      <c r="F376" s="41">
        <f>IF(F375=0, "",
  LOOKUP(F374/F375,
    {0,0.2000001,0.3500001,0.5000001,0.7000001,0.8,0.8000001},
    {1,2,5,7,7,7.5,8}
  )
)</f>
        <v>7</v>
      </c>
      <c r="G376" s="41">
        <f>IF(G375=0, "",
  LOOKUP(G374/G375,
    {0,0.2000001,0.3500001,0.5000001,0.7000001,0.8,0.8000001},
    {1,2,5,7,7,7.5,8}
  )
)</f>
        <v>1</v>
      </c>
      <c r="H376" s="41">
        <f>IF(H375=0, "",
  LOOKUP(H374/H375,
    {0,0.2000001,0.3500001,0.5000001,0.7000001,0.8,0.8000001},
    {1,2,5,7,7,7.5,8}
  )
)</f>
        <v>5</v>
      </c>
      <c r="I376" s="41">
        <f>IF(I375=0, "",
  LOOKUP(I374/I375,
    {0,0.2000001,0.3500001,0.5000001,0.7000001,0.8,0.8000001},
    {1,2,5,7,7,7.5,8}
  )
)</f>
        <v>7</v>
      </c>
      <c r="J376" s="41">
        <f>IF(J375=0, "",
  LOOKUP(J374/J375,
    {0,0.2000001,0.3500001,0.5000001,0.7000001,0.8,0.8000001},
    {1,2,5,7,7,7.5,8}
  )
)</f>
        <v>7</v>
      </c>
      <c r="K376" s="41">
        <f>IF(K375=0, "",
  LOOKUP(K374/K375,
    {0,0.2000001,0.3500001,0.5000001,0.7000001,0.8,0.8000001},
    {1,2,5,7,7,7.5,8}
  )
)</f>
        <v>7</v>
      </c>
      <c r="L376" s="41">
        <f>IF(L375=0, "",
  LOOKUP(L374/L375,
    {0,0.2000001,0.3500001,0.5000001,0.7000001,0.8,0.8000001},
    {1,2,5,7,7,7.5,8}
  )
)</f>
        <v>7</v>
      </c>
      <c r="M376" s="41"/>
      <c r="N376" s="41">
        <f>AVERAGE(E376:L376)</f>
        <v>5.75</v>
      </c>
      <c r="O376" s="34" t="s">
        <v>210</v>
      </c>
    </row>
    <row r="377" spans="1:15" ht="15" thickBot="1" x14ac:dyDescent="0.4"/>
    <row r="378" spans="1:15" s="30" customFormat="1" ht="15" thickBot="1" x14ac:dyDescent="0.4">
      <c r="A378" s="31">
        <v>45829</v>
      </c>
      <c r="B378" s="42" t="s">
        <v>212</v>
      </c>
      <c r="D378" s="30" t="s">
        <v>62</v>
      </c>
      <c r="E378" s="32">
        <f>0.4+0+1</f>
        <v>1.4</v>
      </c>
      <c r="F378" s="32">
        <v>1.5</v>
      </c>
      <c r="G378" s="32">
        <v>1</v>
      </c>
      <c r="H378" s="32">
        <f>0.5+0.8+0+0.7</f>
        <v>2</v>
      </c>
      <c r="I378" s="32">
        <f>0.4+0.4+0.7+0</f>
        <v>1.5</v>
      </c>
      <c r="J378" s="32">
        <f>0+1+0.5</f>
        <v>1.5</v>
      </c>
      <c r="K378" s="32">
        <f>0+0.6+0.2</f>
        <v>0.8</v>
      </c>
      <c r="L378" s="32">
        <f>0.5+0.4+0.5</f>
        <v>1.4</v>
      </c>
      <c r="M378" s="32"/>
    </row>
    <row r="379" spans="1:15" s="38" customFormat="1" ht="15" thickBot="1" x14ac:dyDescent="0.4">
      <c r="A379" s="31">
        <v>45829</v>
      </c>
      <c r="B379" s="42" t="s">
        <v>212</v>
      </c>
      <c r="D379" s="38" t="s">
        <v>57</v>
      </c>
      <c r="E379" s="39">
        <v>3</v>
      </c>
      <c r="F379" s="39">
        <v>2</v>
      </c>
      <c r="G379" s="39">
        <v>1</v>
      </c>
      <c r="H379" s="39">
        <v>4</v>
      </c>
      <c r="I379" s="39">
        <v>4</v>
      </c>
      <c r="J379" s="39">
        <v>3</v>
      </c>
      <c r="K379" s="39">
        <v>3</v>
      </c>
      <c r="L379" s="39">
        <v>3</v>
      </c>
      <c r="M379" s="39"/>
    </row>
    <row r="380" spans="1:15" s="40" customFormat="1" ht="15" thickBot="1" x14ac:dyDescent="0.4">
      <c r="A380" s="31">
        <v>45829</v>
      </c>
      <c r="B380" s="42" t="s">
        <v>212</v>
      </c>
      <c r="D380" s="40" t="s">
        <v>58</v>
      </c>
      <c r="E380" s="41">
        <f>IF(E379=0, "",
  LOOKUP(E378/E379,
    {0,0.2000001,0.3500001,0.5000001,0.7000001,0.8,0.8000001},
    {1,2,5,7,7,7.5,8}
  )
)</f>
        <v>5</v>
      </c>
      <c r="F380" s="41">
        <f>IF(F379=0, "",
  LOOKUP(F378/F379,
    {0,0.2000001,0.3500001,0.5000001,0.7000001,0.8,0.8000001},
    {1,2,5,7,7,7.5,8}
  )
)</f>
        <v>7</v>
      </c>
      <c r="G380" s="41">
        <f>IF(G379=0, "",
  LOOKUP(G378/G379,
    {0,0.2000001,0.3500001,0.5000001,0.7000001,0.8,0.8000001},
    {1,2,5,7,7,7.5,8}
  )
)</f>
        <v>8</v>
      </c>
      <c r="H380" s="41">
        <f>IF(H379=0, "",
  LOOKUP(H378/H379,
    {0,0.2000001,0.3500001,0.5000001,0.7000001,0.8,0.8000001},
    {1,2,5,7,7,7.5,8}
  )
)</f>
        <v>5</v>
      </c>
      <c r="I380" s="41">
        <f>IF(I379=0, "",
  LOOKUP(I378/I379,
    {0,0.2000001,0.3500001,0.5000001,0.7000001,0.8,0.8000001},
    {1,2,5,7,7,7.5,8}
  )
)</f>
        <v>5</v>
      </c>
      <c r="J380" s="41">
        <f>IF(J379=0, "",
  LOOKUP(J378/J379,
    {0,0.2000001,0.3500001,0.5000001,0.7000001,0.8,0.8000001},
    {1,2,5,7,7,7.5,8}
  )
)</f>
        <v>5</v>
      </c>
      <c r="K380" s="41">
        <f>IF(K379=0, "",
  LOOKUP(K378/K379,
    {0,0.2000001,0.3500001,0.5000001,0.7000001,0.8,0.8000001},
    {1,2,5,7,7,7.5,8}
  )
)</f>
        <v>2</v>
      </c>
      <c r="L380" s="41">
        <f>IF(L379=0, "",
  LOOKUP(L378/L379,
    {0,0.2000001,0.3500001,0.5000001,0.7000001,0.8,0.8000001},
    {1,2,5,7,7,7.5,8}
  )
)</f>
        <v>5</v>
      </c>
      <c r="M380" s="41"/>
      <c r="N380" s="41">
        <f>AVERAGE(E380:L380)</f>
        <v>5.25</v>
      </c>
      <c r="O380" s="34" t="s">
        <v>197</v>
      </c>
    </row>
    <row r="381" spans="1:15" ht="15" thickBot="1" x14ac:dyDescent="0.4"/>
    <row r="382" spans="1:15" ht="15" thickBot="1" x14ac:dyDescent="0.4">
      <c r="A382" s="31">
        <v>45831</v>
      </c>
      <c r="B382" s="42" t="s">
        <v>213</v>
      </c>
      <c r="C382" s="30"/>
      <c r="D382" s="30" t="s">
        <v>62</v>
      </c>
      <c r="E382" s="32">
        <f>0.4+0.3+0</f>
        <v>0.7</v>
      </c>
      <c r="F382" s="32">
        <v>1.5</v>
      </c>
      <c r="G382" s="32">
        <v>0</v>
      </c>
      <c r="H382" s="32">
        <f>0.4+0+1+0.7</f>
        <v>2.0999999999999996</v>
      </c>
      <c r="I382" s="32">
        <f>0.4+0.4+0.7+0</f>
        <v>1.5</v>
      </c>
      <c r="J382" s="32">
        <f>1+0.8+0</f>
        <v>1.8</v>
      </c>
      <c r="K382" s="32">
        <f>0.8+0.6+0.5</f>
        <v>1.9</v>
      </c>
      <c r="L382" s="32">
        <f>0.2+0.7+0.4</f>
        <v>1.2999999999999998</v>
      </c>
      <c r="M382" s="32"/>
      <c r="N382" s="30"/>
      <c r="O382" s="30"/>
    </row>
    <row r="383" spans="1:15" ht="15" thickBot="1" x14ac:dyDescent="0.4">
      <c r="A383" s="31">
        <v>45831</v>
      </c>
      <c r="B383" s="42" t="s">
        <v>213</v>
      </c>
      <c r="C383" s="38"/>
      <c r="D383" s="38" t="s">
        <v>57</v>
      </c>
      <c r="E383" s="39">
        <v>3</v>
      </c>
      <c r="F383" s="39">
        <v>2</v>
      </c>
      <c r="G383" s="39">
        <v>1</v>
      </c>
      <c r="H383" s="39">
        <v>4</v>
      </c>
      <c r="I383" s="39">
        <v>4</v>
      </c>
      <c r="J383" s="39">
        <v>3</v>
      </c>
      <c r="K383" s="39">
        <v>3</v>
      </c>
      <c r="L383" s="39">
        <v>3</v>
      </c>
      <c r="M383" s="39"/>
      <c r="N383" s="38"/>
      <c r="O383" s="38"/>
    </row>
    <row r="384" spans="1:15" ht="15" thickBot="1" x14ac:dyDescent="0.4">
      <c r="A384" s="31">
        <v>45831</v>
      </c>
      <c r="B384" s="42" t="s">
        <v>213</v>
      </c>
      <c r="C384" s="40"/>
      <c r="D384" s="40" t="s">
        <v>58</v>
      </c>
      <c r="E384" s="41">
        <f>IF(E383=0, "",
  LOOKUP(E382/E383,
    {0,0.2000001,0.3500001,0.5000001,0.7000001,0.8,0.8000001},
    {1,2,5,7,7,7.5,8}
  )
)</f>
        <v>2</v>
      </c>
      <c r="F384" s="41">
        <f>IF(F383=0, "",
  LOOKUP(F382/F383,
    {0,0.2000001,0.3500001,0.5000001,0.7000001,0.8,0.8000001},
    {1,2,5,7,7,7.5,8}
  )
)</f>
        <v>7</v>
      </c>
      <c r="G384" s="41">
        <f>IF(G383=0, "",
  LOOKUP(G382/G383,
    {0,0.2000001,0.3500001,0.5000001,0.7000001,0.8,0.8000001},
    {1,2,5,7,7,7.5,8}
  )
)</f>
        <v>1</v>
      </c>
      <c r="H384" s="41">
        <f>IF(H383=0, "",
  LOOKUP(H382/H383,
    {0,0.2000001,0.3500001,0.5000001,0.7000001,0.8,0.8000001},
    {1,2,5,7,7,7.5,8}
  )
)</f>
        <v>7</v>
      </c>
      <c r="I384" s="41">
        <f>IF(I383=0, "",
  LOOKUP(I382/I383,
    {0,0.2000001,0.3500001,0.5000001,0.7000001,0.8,0.8000001},
    {1,2,5,7,7,7.5,8}
  )
)</f>
        <v>5</v>
      </c>
      <c r="J384" s="41">
        <f>IF(J383=0, "",
  LOOKUP(J382/J383,
    {0,0.2000001,0.3500001,0.5000001,0.7000001,0.8,0.8000001},
    {1,2,5,7,7,7.5,8}
  )
)</f>
        <v>7</v>
      </c>
      <c r="K384" s="41">
        <f>IF(K383=0, "",
  LOOKUP(K382/K383,
    {0,0.2000001,0.3500001,0.5000001,0.7000001,0.8,0.8000001},
    {1,2,5,7,7,7.5,8}
  )
)</f>
        <v>7</v>
      </c>
      <c r="L384" s="41">
        <f>IF(L383=0, "",
  LOOKUP(L382/L383,
    {0,0.2000001,0.3500001,0.5000001,0.7000001,0.8,0.8000001},
    {1,2,5,7,7,7.5,8}
  )
)</f>
        <v>5</v>
      </c>
      <c r="M384" s="41"/>
      <c r="N384" s="41">
        <f>AVERAGE(E384:L384)</f>
        <v>5.125</v>
      </c>
      <c r="O384" s="34" t="s">
        <v>214</v>
      </c>
    </row>
    <row r="385" spans="1:15" ht="15" thickBot="1" x14ac:dyDescent="0.4"/>
    <row r="386" spans="1:15" s="18" customFormat="1" ht="15" thickBot="1" x14ac:dyDescent="0.4">
      <c r="A386" s="17">
        <v>45832</v>
      </c>
      <c r="B386" s="14" t="s">
        <v>196</v>
      </c>
      <c r="D386" s="30" t="s">
        <v>62</v>
      </c>
      <c r="E386" s="19">
        <f>1+0.5</f>
        <v>1.5</v>
      </c>
      <c r="F386" s="19">
        <v>1</v>
      </c>
      <c r="G386" s="19">
        <f>1+1</f>
        <v>2</v>
      </c>
      <c r="H386" s="19">
        <f>1+0.5+0+0.6</f>
        <v>2.1</v>
      </c>
      <c r="I386" s="19">
        <f>0.8+0.3+0.7+1</f>
        <v>2.8</v>
      </c>
      <c r="J386" s="19">
        <f>0.4+0.7+1</f>
        <v>2.1</v>
      </c>
      <c r="K386" s="19">
        <f>0+0.5+0.5</f>
        <v>1</v>
      </c>
      <c r="L386" s="19">
        <f>0.6+0.3+0.2</f>
        <v>1.0999999999999999</v>
      </c>
      <c r="M386" s="19"/>
    </row>
    <row r="387" spans="1:15" s="22" customFormat="1" ht="15" thickBot="1" x14ac:dyDescent="0.4">
      <c r="A387" s="17">
        <v>45832</v>
      </c>
      <c r="B387" s="14" t="s">
        <v>196</v>
      </c>
      <c r="D387" s="22" t="s">
        <v>57</v>
      </c>
      <c r="E387" s="23">
        <v>2</v>
      </c>
      <c r="F387" s="23">
        <v>2</v>
      </c>
      <c r="G387" s="23">
        <v>2</v>
      </c>
      <c r="H387" s="23">
        <v>4</v>
      </c>
      <c r="I387" s="23">
        <v>4</v>
      </c>
      <c r="J387" s="23">
        <v>3</v>
      </c>
      <c r="K387" s="23">
        <v>3</v>
      </c>
      <c r="L387" s="23">
        <v>3</v>
      </c>
      <c r="M387" s="23"/>
    </row>
    <row r="388" spans="1:15" s="26" customFormat="1" ht="15" thickBot="1" x14ac:dyDescent="0.4">
      <c r="A388" s="17">
        <v>45832</v>
      </c>
      <c r="B388" s="14" t="s">
        <v>196</v>
      </c>
      <c r="D388" s="26" t="s">
        <v>58</v>
      </c>
      <c r="E388" s="27">
        <f>IF(E387=0, "",
  LOOKUP(E386/E387,
    {0,0.2000001,0.3500001,0.5000001,0.7000001,0.8,0.8000001},
    {1,2,5,7,7,7.5,8}
  )
)</f>
        <v>7</v>
      </c>
      <c r="F388" s="27">
        <f>IF(F387=0, "",
  LOOKUP(F386/F387,
    {0,0.2000001,0.3500001,0.5000001,0.7000001,0.8,0.8000001},
    {1,2,5,7,7,7.5,8}
  )
)</f>
        <v>5</v>
      </c>
      <c r="G388" s="27">
        <f>IF(G387=0, "",
  LOOKUP(G386/G387,
    {0,0.2000001,0.3500001,0.5000001,0.7000001,0.8,0.8000001},
    {1,2,5,7,7,7.5,8}
  )
)</f>
        <v>8</v>
      </c>
      <c r="H388" s="27">
        <f>IF(H387=0, "",
  LOOKUP(H386/H387,
    {0,0.2000001,0.3500001,0.5000001,0.7000001,0.8,0.8000001},
    {1,2,5,7,7,7.5,8}
  )
)</f>
        <v>7</v>
      </c>
      <c r="I388" s="27">
        <f>IF(I387=0, "",
  LOOKUP(I386/I387,
    {0,0.2000001,0.3500001,0.5000001,0.7000001,0.8,0.8000001},
    {1,2,5,7,7,7.5,8}
  )
)</f>
        <v>7</v>
      </c>
      <c r="J388" s="27">
        <f>IF(J387=0, "",
  LOOKUP(J386/J387,
    {0,0.2000001,0.3500001,0.5000001,0.7000001,0.8,0.8000001},
    {1,2,5,7,7,7.5,8}
  )
)</f>
        <v>7</v>
      </c>
      <c r="K388" s="27">
        <f>IF(K387=0, "",
  LOOKUP(K386/K387,
    {0,0.2000001,0.3500001,0.5000001,0.7000001,0.8,0.8000001},
    {1,2,5,7,7,7.5,8}
  )
)</f>
        <v>2</v>
      </c>
      <c r="L388" s="27">
        <f>IF(L387=0, "",
  LOOKUP(L386/L387,
    {0,0.2000001,0.3500001,0.5000001,0.7000001,0.8,0.8000001},
    {1,2,5,7,7,7.5,8}
  )
)</f>
        <v>5</v>
      </c>
      <c r="M388" s="27"/>
      <c r="N388" s="43">
        <f>AVERAGE(E388:L388)</f>
        <v>6</v>
      </c>
      <c r="O388" s="34" t="s">
        <v>216</v>
      </c>
    </row>
    <row r="389" spans="1:15" ht="15" thickBot="1" x14ac:dyDescent="0.4"/>
    <row r="390" spans="1:15" s="18" customFormat="1" ht="15" thickBot="1" x14ac:dyDescent="0.4">
      <c r="A390" s="17">
        <v>45832</v>
      </c>
      <c r="B390" s="14" t="s">
        <v>215</v>
      </c>
      <c r="D390" s="30" t="s">
        <v>62</v>
      </c>
      <c r="E390" s="19">
        <f>1+0.5</f>
        <v>1.5</v>
      </c>
      <c r="F390" s="19">
        <v>1.5</v>
      </c>
      <c r="G390" s="19">
        <f>1+1</f>
        <v>2</v>
      </c>
      <c r="H390" s="19">
        <f>1+0.6+0.3+0</f>
        <v>1.9000000000000001</v>
      </c>
      <c r="I390" s="19">
        <f>0.8+0+0.7+1</f>
        <v>2.5</v>
      </c>
      <c r="J390" s="19">
        <f>0+1+0.6</f>
        <v>1.6</v>
      </c>
      <c r="K390" s="19">
        <f>0.6+0.6+0.8</f>
        <v>2</v>
      </c>
      <c r="L390" s="19">
        <f>0.3+0.3+0.8</f>
        <v>1.4</v>
      </c>
      <c r="M390" s="19"/>
    </row>
    <row r="391" spans="1:15" s="22" customFormat="1" ht="15" thickBot="1" x14ac:dyDescent="0.4">
      <c r="A391" s="17">
        <v>45832</v>
      </c>
      <c r="B391" s="14" t="s">
        <v>215</v>
      </c>
      <c r="D391" s="22" t="s">
        <v>57</v>
      </c>
      <c r="E391" s="23">
        <v>2</v>
      </c>
      <c r="F391" s="23">
        <v>2</v>
      </c>
      <c r="G391" s="23">
        <v>2</v>
      </c>
      <c r="H391" s="23">
        <v>4</v>
      </c>
      <c r="I391" s="23">
        <v>4</v>
      </c>
      <c r="J391" s="23">
        <v>3</v>
      </c>
      <c r="K391" s="23">
        <v>3</v>
      </c>
      <c r="L391" s="23">
        <v>3</v>
      </c>
      <c r="M391" s="23"/>
    </row>
    <row r="392" spans="1:15" s="26" customFormat="1" ht="15" thickBot="1" x14ac:dyDescent="0.4">
      <c r="A392" s="17">
        <v>45832</v>
      </c>
      <c r="B392" s="14" t="s">
        <v>215</v>
      </c>
      <c r="D392" s="26" t="s">
        <v>58</v>
      </c>
      <c r="E392" s="27">
        <f>IF(E391=0, "",
  LOOKUP(E390/E391,
    {0,0.2000001,0.3500001,0.5000001,0.7000001,0.8,0.8000001},
    {1,2,5,7,7,7.5,8}
  )
)</f>
        <v>7</v>
      </c>
      <c r="F392" s="27">
        <f>IF(F391=0, "",
  LOOKUP(F390/F391,
    {0,0.2000001,0.3500001,0.5000001,0.7000001,0.8,0.8000001},
    {1,2,5,7,7,7.5,8}
  )
)</f>
        <v>7</v>
      </c>
      <c r="G392" s="27">
        <f>IF(G391=0, "",
  LOOKUP(G390/G391,
    {0,0.2000001,0.3500001,0.5000001,0.7000001,0.8,0.8000001},
    {1,2,5,7,7,7.5,8}
  )
)</f>
        <v>8</v>
      </c>
      <c r="H392" s="27">
        <f>IF(H391=0, "",
  LOOKUP(H390/H391,
    {0,0.2000001,0.3500001,0.5000001,0.7000001,0.8,0.8000001},
    {1,2,5,7,7,7.5,8}
  )
)</f>
        <v>5</v>
      </c>
      <c r="I392" s="27">
        <f>IF(I391=0, "",
  LOOKUP(I390/I391,
    {0,0.2000001,0.3500001,0.5000001,0.7000001,0.8,0.8000001},
    {1,2,5,7,7,7.5,8}
  )
)</f>
        <v>7</v>
      </c>
      <c r="J392" s="27">
        <f>IF(J391=0, "",
  LOOKUP(J390/J391,
    {0,0.2000001,0.3500001,0.5000001,0.7000001,0.8,0.8000001},
    {1,2,5,7,7,7.5,8}
  )
)</f>
        <v>7</v>
      </c>
      <c r="K392" s="27">
        <f>IF(K391=0, "",
  LOOKUP(K390/K391,
    {0,0.2000001,0.3500001,0.5000001,0.7000001,0.8,0.8000001},
    {1,2,5,7,7,7.5,8}
  )
)</f>
        <v>7</v>
      </c>
      <c r="L392" s="27">
        <f>IF(L391=0, "",
  LOOKUP(L390/L391,
    {0,0.2000001,0.3500001,0.5000001,0.7000001,0.8,0.8000001},
    {1,2,5,7,7,7.5,8}
  )
)</f>
        <v>5</v>
      </c>
      <c r="M392" s="27"/>
      <c r="N392" s="27">
        <f>AVERAGE(E392:L392)</f>
        <v>6.625</v>
      </c>
      <c r="O392" s="34" t="s">
        <v>217</v>
      </c>
    </row>
    <row r="393" spans="1:15" ht="15" thickBot="1" x14ac:dyDescent="0.4"/>
    <row r="394" spans="1:15" s="18" customFormat="1" ht="15" thickBot="1" x14ac:dyDescent="0.4">
      <c r="A394" s="17">
        <v>45833</v>
      </c>
      <c r="B394" s="44" t="s">
        <v>218</v>
      </c>
      <c r="D394" s="30" t="s">
        <v>62</v>
      </c>
      <c r="E394" s="19">
        <f>0.4+0.3</f>
        <v>0.7</v>
      </c>
      <c r="F394" s="19">
        <v>1</v>
      </c>
      <c r="G394" s="19">
        <v>0</v>
      </c>
      <c r="H394" s="19">
        <f>0.3+0.4+0.4+0.3</f>
        <v>1.4000000000000001</v>
      </c>
      <c r="I394" s="19">
        <f>0.4+0.6+0.5+0.2</f>
        <v>1.7</v>
      </c>
      <c r="J394" s="19">
        <f>0.7+0.3+0.3</f>
        <v>1.3</v>
      </c>
      <c r="K394" s="19">
        <f>0+0+0</f>
        <v>0</v>
      </c>
      <c r="L394" s="19">
        <f>0+0.3+0.5</f>
        <v>0.8</v>
      </c>
      <c r="M394" s="19"/>
    </row>
    <row r="395" spans="1:15" s="22" customFormat="1" ht="15" thickBot="1" x14ac:dyDescent="0.4">
      <c r="A395" s="17">
        <v>45833</v>
      </c>
      <c r="B395" s="44" t="s">
        <v>218</v>
      </c>
      <c r="D395" s="22" t="s">
        <v>57</v>
      </c>
      <c r="E395" s="23">
        <v>2</v>
      </c>
      <c r="F395" s="23">
        <v>2</v>
      </c>
      <c r="G395" s="23">
        <v>2</v>
      </c>
      <c r="H395" s="23">
        <v>4</v>
      </c>
      <c r="I395" s="23">
        <v>4</v>
      </c>
      <c r="J395" s="23">
        <v>3</v>
      </c>
      <c r="K395" s="23">
        <v>3</v>
      </c>
      <c r="L395" s="23">
        <v>3</v>
      </c>
      <c r="M395" s="23"/>
    </row>
    <row r="396" spans="1:15" s="26" customFormat="1" ht="15" thickBot="1" x14ac:dyDescent="0.4">
      <c r="A396" s="17">
        <v>45833</v>
      </c>
      <c r="B396" s="44" t="s">
        <v>218</v>
      </c>
      <c r="D396" s="26" t="s">
        <v>58</v>
      </c>
      <c r="E396" s="27">
        <f>IF(E395=0, "",
  LOOKUP(E394/E395,
    {0,0.2000001,0.3500001,0.5000001,0.7000001,0.8,0.8000001},
    {1,2,5,7,7,7.5,8}
  )
)</f>
        <v>2</v>
      </c>
      <c r="F396" s="27">
        <f>IF(F395=0, "",
  LOOKUP(F394/F395,
    {0,0.2000001,0.3500001,0.5000001,0.7000001,0.8,0.8000001},
    {1,2,5,7,7,7.5,8}
  )
)</f>
        <v>5</v>
      </c>
      <c r="G396" s="27">
        <f>IF(G395=0, "",
  LOOKUP(G394/G395,
    {0,0.2000001,0.3500001,0.5000001,0.7000001,0.8,0.8000001},
    {1,2,5,7,7,7.5,8}
  )
)</f>
        <v>1</v>
      </c>
      <c r="H396" s="27">
        <f>IF(H395=0, "",
  LOOKUP(H394/H395,
    {0,0.2000001,0.3500001,0.5000001,0.7000001,0.8,0.8000001},
    {1,2,5,7,7,7.5,8}
  )
)</f>
        <v>2</v>
      </c>
      <c r="I396" s="27">
        <f>IF(I395=0, "",
  LOOKUP(I394/I395,
    {0,0.2000001,0.3500001,0.5000001,0.7000001,0.8,0.8000001},
    {1,2,5,7,7,7.5,8}
  )
)</f>
        <v>5</v>
      </c>
      <c r="J396" s="27">
        <f>IF(J395=0, "",
  LOOKUP(J394/J395,
    {0,0.2000001,0.3500001,0.5000001,0.7000001,0.8,0.8000001},
    {1,2,5,7,7,7.5,8}
  )
)</f>
        <v>5</v>
      </c>
      <c r="K396" s="27">
        <f>IF(K395=0, "",
  LOOKUP(K394/K395,
    {0,0.2000001,0.3500001,0.5000001,0.7000001,0.8,0.8000001},
    {1,2,5,7,7,7.5,8}
  )
)</f>
        <v>1</v>
      </c>
      <c r="L396" s="27">
        <f>IF(L395=0, "",
  LOOKUP(L394/L395,
    {0,0.2000001,0.3500001,0.5000001,0.7000001,0.8,0.8000001},
    {1,2,5,7,7,7.5,8}
  )
)</f>
        <v>2</v>
      </c>
      <c r="M396" s="27"/>
      <c r="N396" s="27">
        <f>AVERAGE(E396:L396)</f>
        <v>2.875</v>
      </c>
      <c r="O396" s="34" t="s">
        <v>219</v>
      </c>
    </row>
    <row r="397" spans="1:15" ht="15" thickBot="1" x14ac:dyDescent="0.4"/>
    <row r="398" spans="1:15" s="18" customFormat="1" ht="15" thickBot="1" x14ac:dyDescent="0.4">
      <c r="A398" s="17">
        <v>45833</v>
      </c>
      <c r="B398" s="44" t="s">
        <v>220</v>
      </c>
      <c r="D398" s="30" t="s">
        <v>62</v>
      </c>
      <c r="E398" s="19">
        <f>1+0.7</f>
        <v>1.7</v>
      </c>
      <c r="F398" s="19">
        <v>0.5</v>
      </c>
      <c r="G398" s="19">
        <v>1</v>
      </c>
      <c r="H398" s="19">
        <f>0.5+0.4+0.4</f>
        <v>1.3</v>
      </c>
      <c r="I398" s="19">
        <f>0.8+0.6+0.3+0.8</f>
        <v>2.5</v>
      </c>
      <c r="J398" s="19">
        <f>1+0.7+1</f>
        <v>2.7</v>
      </c>
      <c r="K398" s="19">
        <f>1+0.7+0.8</f>
        <v>2.5</v>
      </c>
      <c r="L398" s="19">
        <f>0+0+1</f>
        <v>1</v>
      </c>
      <c r="M398" s="19"/>
    </row>
    <row r="399" spans="1:15" s="22" customFormat="1" ht="15" thickBot="1" x14ac:dyDescent="0.4">
      <c r="A399" s="17">
        <v>45833</v>
      </c>
      <c r="B399" s="44" t="s">
        <v>220</v>
      </c>
      <c r="D399" s="22" t="s">
        <v>57</v>
      </c>
      <c r="E399" s="23">
        <v>2</v>
      </c>
      <c r="F399" s="23">
        <v>2</v>
      </c>
      <c r="G399" s="23">
        <v>1</v>
      </c>
      <c r="H399" s="23">
        <v>3</v>
      </c>
      <c r="I399" s="23">
        <v>4</v>
      </c>
      <c r="J399" s="23">
        <v>3</v>
      </c>
      <c r="K399" s="23">
        <v>3</v>
      </c>
      <c r="L399" s="23">
        <v>3</v>
      </c>
      <c r="M399" s="23"/>
    </row>
    <row r="400" spans="1:15" s="26" customFormat="1" ht="15" thickBot="1" x14ac:dyDescent="0.4">
      <c r="A400" s="17">
        <v>45833</v>
      </c>
      <c r="B400" s="44" t="s">
        <v>220</v>
      </c>
      <c r="D400" s="26" t="s">
        <v>58</v>
      </c>
      <c r="E400" s="27">
        <f>IF(E399=0, "",
  LOOKUP(E398/E399,
    {0,0.2000001,0.3500001,0.5000001,0.7000001,0.8,0.8000001},
    {1,2,5,7,7,7.5,8}
  )
)</f>
        <v>8</v>
      </c>
      <c r="F400" s="27">
        <f>IF(F399=0, "",
  LOOKUP(F398/F399,
    {0,0.2000001,0.3500001,0.5000001,0.7000001,0.8,0.8000001},
    {1,2,5,7,7,7.5,8}
  )
)</f>
        <v>2</v>
      </c>
      <c r="G400" s="27">
        <f>IF(G399=0, "",
  LOOKUP(G398/G399,
    {0,0.2000001,0.3500001,0.5000001,0.7000001,0.8,0.8000001},
    {1,2,5,7,7,7.5,8}
  )
)</f>
        <v>8</v>
      </c>
      <c r="H400" s="27">
        <f>IF(H399=0, "",
  LOOKUP(H398/H399,
    {0,0.2000001,0.3500001,0.5000001,0.7000001,0.8,0.8000001},
    {1,2,5,7,7,7.5,8}
  )
)</f>
        <v>5</v>
      </c>
      <c r="I400" s="27">
        <f>IF(I399=0, "",
  LOOKUP(I398/I399,
    {0,0.2000001,0.3500001,0.5000001,0.7000001,0.8,0.8000001},
    {1,2,5,7,7,7.5,8}
  )
)</f>
        <v>7</v>
      </c>
      <c r="J400" s="27">
        <f>IF(J399=0, "",
  LOOKUP(J398/J399,
    {0,0.2000001,0.3500001,0.5000001,0.7000001,0.8,0.8000001},
    {1,2,5,7,7,7.5,8}
  )
)</f>
        <v>8</v>
      </c>
      <c r="K400" s="27">
        <f>IF(K399=0, "",
  LOOKUP(K398/K399,
    {0,0.2000001,0.3500001,0.5000001,0.7000001,0.8,0.8000001},
    {1,2,5,7,7,7.5,8}
  )
)</f>
        <v>8</v>
      </c>
      <c r="L400" s="27">
        <f>IF(L399=0, "",
  LOOKUP(L398/L399,
    {0,0.2000001,0.3500001,0.5000001,0.7000001,0.8,0.8000001},
    {1,2,5,7,7,7.5,8}
  )
)</f>
        <v>2</v>
      </c>
      <c r="M400" s="27"/>
      <c r="N400" s="27">
        <f>AVERAGE(E400:L400)</f>
        <v>6</v>
      </c>
      <c r="O400" s="34" t="s">
        <v>216</v>
      </c>
    </row>
    <row r="401" spans="1:15" ht="15" thickBot="1" x14ac:dyDescent="0.4"/>
    <row r="402" spans="1:15" s="18" customFormat="1" ht="15" thickBot="1" x14ac:dyDescent="0.4">
      <c r="A402" s="17">
        <v>45834</v>
      </c>
      <c r="B402" s="44" t="s">
        <v>221</v>
      </c>
      <c r="D402" s="30" t="s">
        <v>62</v>
      </c>
      <c r="E402" s="19">
        <f>0.2+0.5</f>
        <v>0.7</v>
      </c>
      <c r="F402" s="19">
        <v>1</v>
      </c>
      <c r="G402" s="19">
        <v>1</v>
      </c>
      <c r="H402" s="19">
        <f>0.2+0+0</f>
        <v>0.2</v>
      </c>
      <c r="I402" s="19">
        <f>0.5+0+0.3+0.5</f>
        <v>1.3</v>
      </c>
      <c r="J402" s="19">
        <f>0+0+0.6</f>
        <v>0.6</v>
      </c>
      <c r="K402" s="19">
        <f>0+0.5+0.6</f>
        <v>1.1000000000000001</v>
      </c>
      <c r="L402" s="19">
        <f>0+0.4+0</f>
        <v>0.4</v>
      </c>
      <c r="M402" s="19"/>
    </row>
    <row r="403" spans="1:15" s="22" customFormat="1" ht="15" thickBot="1" x14ac:dyDescent="0.4">
      <c r="A403" s="17">
        <v>45834</v>
      </c>
      <c r="B403" s="44" t="s">
        <v>221</v>
      </c>
      <c r="D403" s="22" t="s">
        <v>57</v>
      </c>
      <c r="E403" s="23">
        <v>2</v>
      </c>
      <c r="F403" s="23">
        <v>2</v>
      </c>
      <c r="G403" s="23">
        <v>1</v>
      </c>
      <c r="H403" s="23">
        <v>3</v>
      </c>
      <c r="I403" s="23">
        <v>4</v>
      </c>
      <c r="J403" s="23">
        <v>3</v>
      </c>
      <c r="K403" s="23">
        <v>3</v>
      </c>
      <c r="L403" s="23">
        <v>3</v>
      </c>
      <c r="M403" s="23"/>
    </row>
    <row r="404" spans="1:15" s="26" customFormat="1" ht="15" thickBot="1" x14ac:dyDescent="0.4">
      <c r="A404" s="17">
        <v>45834</v>
      </c>
      <c r="B404" s="44" t="s">
        <v>221</v>
      </c>
      <c r="D404" s="26" t="s">
        <v>58</v>
      </c>
      <c r="E404" s="27">
        <f>IF(E403=0, "",
  LOOKUP(E402/E403,
    {0,0.2000001,0.3500001,0.5000001,0.7000001,0.8,0.8000001},
    {1,2,5,7,7,7.5,8}
  )
)</f>
        <v>2</v>
      </c>
      <c r="F404" s="27">
        <f>IF(F403=0, "",
  LOOKUP(F402/F403,
    {0,0.2000001,0.3500001,0.5000001,0.7000001,0.8,0.8000001},
    {1,2,5,7,7,7.5,8}
  )
)</f>
        <v>5</v>
      </c>
      <c r="G404" s="27">
        <f>IF(G403=0, "",
  LOOKUP(G402/G403,
    {0,0.2000001,0.3500001,0.5000001,0.7000001,0.8,0.8000001},
    {1,2,5,7,7,7.5,8}
  )
)</f>
        <v>8</v>
      </c>
      <c r="H404" s="27">
        <f>IF(H403=0, "",
  LOOKUP(H402/H403,
    {0,0.2000001,0.3500001,0.5000001,0.7000001,0.8,0.8000001},
    {1,2,5,7,7,7.5,8}
  )
)</f>
        <v>1</v>
      </c>
      <c r="I404" s="27">
        <f>IF(I403=0, "",
  LOOKUP(I402/I403,
    {0,0.2000001,0.3500001,0.5000001,0.7000001,0.8,0.8000001},
    {1,2,5,7,7,7.5,8}
  )
)</f>
        <v>2</v>
      </c>
      <c r="J404" s="27">
        <f>IF(J403=0, "",
  LOOKUP(J402/J403,
    {0,0.2000001,0.3500001,0.5000001,0.7000001,0.8,0.8000001},
    {1,2,5,7,7,7.5,8}
  )
)</f>
        <v>1</v>
      </c>
      <c r="K404" s="27">
        <f>IF(K403=0, "",
  LOOKUP(K402/K403,
    {0,0.2000001,0.3500001,0.5000001,0.7000001,0.8,0.8000001},
    {1,2,5,7,7,7.5,8}
  )
)</f>
        <v>5</v>
      </c>
      <c r="L404" s="27">
        <f>IF(L403=0, "",
  LOOKUP(L402/L403,
    {0,0.2000001,0.3500001,0.5000001,0.7000001,0.8,0.8000001},
    {1,2,5,7,7,7.5,8}
  )
)</f>
        <v>1</v>
      </c>
      <c r="M404" s="27"/>
      <c r="N404" s="27">
        <f>AVERAGE(E404:L404)</f>
        <v>3.125</v>
      </c>
      <c r="O404" s="34" t="s">
        <v>195</v>
      </c>
    </row>
    <row r="405" spans="1:15" ht="15" thickBot="1" x14ac:dyDescent="0.4"/>
    <row r="406" spans="1:15" s="18" customFormat="1" ht="15" thickBot="1" x14ac:dyDescent="0.4">
      <c r="A406" s="17">
        <v>45834</v>
      </c>
      <c r="B406" s="44" t="s">
        <v>222</v>
      </c>
      <c r="D406" s="30" t="s">
        <v>62</v>
      </c>
      <c r="E406" s="19">
        <f>0.5+0</f>
        <v>0.5</v>
      </c>
      <c r="F406" s="19">
        <v>1</v>
      </c>
      <c r="G406" s="19">
        <v>1</v>
      </c>
      <c r="H406" s="19">
        <f>0.3+0.7+0.8</f>
        <v>1.8</v>
      </c>
      <c r="I406" s="19">
        <f>0.5+0.7+0.8+0.5</f>
        <v>2.5</v>
      </c>
      <c r="J406" s="19">
        <f>0+0+0.5</f>
        <v>0.5</v>
      </c>
      <c r="K406" s="19">
        <f>0.2+0.7+0</f>
        <v>0.89999999999999991</v>
      </c>
      <c r="L406" s="19">
        <f>0.4+0+1</f>
        <v>1.4</v>
      </c>
      <c r="M406" s="19"/>
    </row>
    <row r="407" spans="1:15" s="22" customFormat="1" ht="15" thickBot="1" x14ac:dyDescent="0.4">
      <c r="A407" s="17">
        <v>45834</v>
      </c>
      <c r="B407" s="44" t="s">
        <v>222</v>
      </c>
      <c r="D407" s="22" t="s">
        <v>57</v>
      </c>
      <c r="E407" s="23">
        <v>2</v>
      </c>
      <c r="F407" s="23">
        <v>2</v>
      </c>
      <c r="G407" s="23">
        <v>1</v>
      </c>
      <c r="H407" s="23">
        <v>3</v>
      </c>
      <c r="I407" s="23">
        <v>4</v>
      </c>
      <c r="J407" s="23">
        <v>3</v>
      </c>
      <c r="K407" s="23">
        <v>3</v>
      </c>
      <c r="L407" s="23">
        <v>3</v>
      </c>
      <c r="M407" s="23"/>
    </row>
    <row r="408" spans="1:15" s="26" customFormat="1" ht="15" thickBot="1" x14ac:dyDescent="0.4">
      <c r="A408" s="17">
        <v>45834</v>
      </c>
      <c r="B408" s="44" t="s">
        <v>222</v>
      </c>
      <c r="D408" s="26" t="s">
        <v>58</v>
      </c>
      <c r="E408" s="27">
        <f>IF(E407=0, "",
  LOOKUP(E406/E407,
    {0,0.2000001,0.3500001,0.5000001,0.7000001,0.8,0.8000001},
    {1,2,5,7,7,7.5,8}
  )
)</f>
        <v>2</v>
      </c>
      <c r="F408" s="27">
        <f>IF(F407=0, "",
  LOOKUP(F406/F407,
    {0,0.2000001,0.3500001,0.5000001,0.7000001,0.8,0.8000001},
    {1,2,5,7,7,7.5,8}
  )
)</f>
        <v>5</v>
      </c>
      <c r="G408" s="27">
        <f>IF(G407=0, "",
  LOOKUP(G406/G407,
    {0,0.2000001,0.3500001,0.5000001,0.7000001,0.8,0.8000001},
    {1,2,5,7,7,7.5,8}
  )
)</f>
        <v>8</v>
      </c>
      <c r="H408" s="27">
        <f>IF(H407=0, "",
  LOOKUP(H406/H407,
    {0,0.2000001,0.3500001,0.5000001,0.7000001,0.8,0.8000001},
    {1,2,5,7,7,7.5,8}
  )
)</f>
        <v>7</v>
      </c>
      <c r="I408" s="27">
        <f>IF(I407=0, "",
  LOOKUP(I406/I407,
    {0,0.2000001,0.3500001,0.5000001,0.7000001,0.8,0.8000001},
    {1,2,5,7,7,7.5,8}
  )
)</f>
        <v>7</v>
      </c>
      <c r="J408" s="27">
        <f>IF(J407=0, "",
  LOOKUP(J406/J407,
    {0,0.2000001,0.3500001,0.5000001,0.7000001,0.8,0.8000001},
    {1,2,5,7,7,7.5,8}
  )
)</f>
        <v>1</v>
      </c>
      <c r="K408" s="27">
        <f>IF(K407=0, "",
  LOOKUP(K406/K407,
    {0,0.2000001,0.3500001,0.5000001,0.7000001,0.8,0.8000001},
    {1,2,5,7,7,7.5,8}
  )
)</f>
        <v>2</v>
      </c>
      <c r="L408" s="27">
        <f>IF(L407=0, "",
  LOOKUP(L406/L407,
    {0,0.2000001,0.3500001,0.5000001,0.7000001,0.8,0.8000001},
    {1,2,5,7,7,7.5,8}
  )
)</f>
        <v>5</v>
      </c>
      <c r="M408" s="27"/>
      <c r="N408" s="27">
        <f>AVERAGE(E408:L408)</f>
        <v>4.625</v>
      </c>
      <c r="O408" s="34" t="s">
        <v>223</v>
      </c>
    </row>
    <row r="409" spans="1:15" ht="15" thickBot="1" x14ac:dyDescent="0.4"/>
    <row r="410" spans="1:15" s="18" customFormat="1" ht="15" thickBot="1" x14ac:dyDescent="0.4">
      <c r="A410" s="17">
        <v>45834</v>
      </c>
      <c r="B410" s="44" t="s">
        <v>224</v>
      </c>
      <c r="D410" s="30" t="s">
        <v>62</v>
      </c>
      <c r="E410" s="19">
        <f>0.2+0.7</f>
        <v>0.89999999999999991</v>
      </c>
      <c r="F410" s="19">
        <v>1.5</v>
      </c>
      <c r="G410" s="19">
        <v>1</v>
      </c>
      <c r="H410" s="19">
        <f>0.5+0.7+0</f>
        <v>1.2</v>
      </c>
      <c r="I410" s="19">
        <f>0.4+0.4+0.8+0.7</f>
        <v>2.2999999999999998</v>
      </c>
      <c r="J410" s="19">
        <f>0+0.5+1</f>
        <v>1.5</v>
      </c>
      <c r="K410" s="19">
        <f>0.5+0.7+0</f>
        <v>1.2</v>
      </c>
      <c r="L410" s="19">
        <f>0.7+0.5+0.5</f>
        <v>1.7</v>
      </c>
      <c r="M410" s="19"/>
    </row>
    <row r="411" spans="1:15" s="22" customFormat="1" ht="15" thickBot="1" x14ac:dyDescent="0.4">
      <c r="A411" s="17">
        <v>45834</v>
      </c>
      <c r="B411" s="44" t="s">
        <v>224</v>
      </c>
      <c r="D411" s="22" t="s">
        <v>57</v>
      </c>
      <c r="E411" s="23">
        <v>2</v>
      </c>
      <c r="F411" s="23">
        <v>2</v>
      </c>
      <c r="G411" s="23">
        <v>1</v>
      </c>
      <c r="H411" s="23">
        <v>3</v>
      </c>
      <c r="I411" s="23">
        <v>4</v>
      </c>
      <c r="J411" s="23">
        <v>3</v>
      </c>
      <c r="K411" s="23">
        <v>3</v>
      </c>
      <c r="L411" s="23">
        <v>3</v>
      </c>
      <c r="M411" s="23"/>
    </row>
    <row r="412" spans="1:15" s="26" customFormat="1" ht="15" thickBot="1" x14ac:dyDescent="0.4">
      <c r="A412" s="17">
        <v>45834</v>
      </c>
      <c r="B412" s="44" t="s">
        <v>224</v>
      </c>
      <c r="D412" s="26" t="s">
        <v>58</v>
      </c>
      <c r="E412" s="27">
        <f>IF(E411=0, "",
  LOOKUP(E410/E411,
    {0,0.2000001,0.3500001,0.5000001,0.7000001,0.8,0.8000001},
    {1,2,5,7,7,7.5,8}
  )
)</f>
        <v>5</v>
      </c>
      <c r="F412" s="27">
        <f>IF(F411=0, "",
  LOOKUP(F410/F411,
    {0,0.2000001,0.3500001,0.5000001,0.7000001,0.8,0.8000001},
    {1,2,5,7,7,7.5,8}
  )
)</f>
        <v>7</v>
      </c>
      <c r="G412" s="27">
        <f>IF(G411=0, "",
  LOOKUP(G410/G411,
    {0,0.2000001,0.3500001,0.5000001,0.7000001,0.8,0.8000001},
    {1,2,5,7,7,7.5,8}
  )
)</f>
        <v>8</v>
      </c>
      <c r="H412" s="27">
        <f>IF(H411=0, "",
  LOOKUP(H410/H411,
    {0,0.2000001,0.3500001,0.5000001,0.7000001,0.8,0.8000001},
    {1,2,5,7,7,7.5,8}
  )
)</f>
        <v>5</v>
      </c>
      <c r="I412" s="27">
        <f>IF(I411=0, "",
  LOOKUP(I410/I411,
    {0,0.2000001,0.3500001,0.5000001,0.7000001,0.8,0.8000001},
    {1,2,5,7,7,7.5,8}
  )
)</f>
        <v>7</v>
      </c>
      <c r="J412" s="27">
        <f>IF(J411=0, "",
  LOOKUP(J410/J411,
    {0,0.2000001,0.3500001,0.5000001,0.7000001,0.8,0.8000001},
    {1,2,5,7,7,7.5,8}
  )
)</f>
        <v>5</v>
      </c>
      <c r="K412" s="27">
        <f>IF(K411=0, "",
  LOOKUP(K410/K411,
    {0,0.2000001,0.3500001,0.5000001,0.7000001,0.8,0.8000001},
    {1,2,5,7,7,7.5,8}
  )
)</f>
        <v>5</v>
      </c>
      <c r="L412" s="27">
        <f>IF(L411=0, "",
  LOOKUP(L410/L411,
    {0,0.2000001,0.3500001,0.5000001,0.7000001,0.8,0.8000001},
    {1,2,5,7,7,7.5,8}
  )
)</f>
        <v>7</v>
      </c>
      <c r="M412" s="27"/>
      <c r="N412" s="27">
        <f>AVERAGE(E412:L412)</f>
        <v>6.125</v>
      </c>
      <c r="O412" s="34" t="s">
        <v>223</v>
      </c>
    </row>
    <row r="413" spans="1:15" ht="15" thickBot="1" x14ac:dyDescent="0.4"/>
    <row r="414" spans="1:15" s="18" customFormat="1" ht="15" thickBot="1" x14ac:dyDescent="0.4">
      <c r="A414" s="17">
        <v>45835</v>
      </c>
      <c r="B414" s="14" t="s">
        <v>204</v>
      </c>
      <c r="D414" s="30" t="s">
        <v>62</v>
      </c>
      <c r="E414" s="32">
        <f>1+0.5</f>
        <v>1.5</v>
      </c>
      <c r="F414" s="19">
        <v>1.5</v>
      </c>
      <c r="G414" s="19">
        <v>0</v>
      </c>
      <c r="H414" s="19">
        <f>0.6+0.6+0.6+0.4</f>
        <v>2.1999999999999997</v>
      </c>
      <c r="I414" s="19">
        <f>0.5+1+0.6+0.3</f>
        <v>2.4</v>
      </c>
      <c r="J414" s="19">
        <f>0+0.8+0</f>
        <v>0.8</v>
      </c>
      <c r="K414" s="19">
        <f>0.5+1+0.7</f>
        <v>2.2000000000000002</v>
      </c>
      <c r="L414" s="19">
        <f>0.6+0.6+0.3</f>
        <v>1.5</v>
      </c>
      <c r="M414" s="19"/>
    </row>
    <row r="415" spans="1:15" s="22" customFormat="1" ht="15" thickBot="1" x14ac:dyDescent="0.4">
      <c r="A415" s="17">
        <v>45835</v>
      </c>
      <c r="B415" s="14" t="s">
        <v>204</v>
      </c>
      <c r="D415" s="22" t="s">
        <v>57</v>
      </c>
      <c r="E415" s="23">
        <v>2</v>
      </c>
      <c r="F415" s="23">
        <v>2</v>
      </c>
      <c r="G415" s="23">
        <v>1</v>
      </c>
      <c r="H415" s="23">
        <v>4</v>
      </c>
      <c r="I415" s="23">
        <v>4</v>
      </c>
      <c r="J415" s="23">
        <v>3</v>
      </c>
      <c r="K415" s="23">
        <v>3</v>
      </c>
      <c r="L415" s="23">
        <v>3</v>
      </c>
      <c r="M415" s="23"/>
    </row>
    <row r="416" spans="1:15" s="26" customFormat="1" ht="15" thickBot="1" x14ac:dyDescent="0.4">
      <c r="A416" s="17">
        <v>45835</v>
      </c>
      <c r="B416" s="14" t="s">
        <v>204</v>
      </c>
      <c r="D416" s="26" t="s">
        <v>58</v>
      </c>
      <c r="E416" s="27">
        <f>IF(E415=0, "",
  LOOKUP(E414/E415,
    {0,0.2000001,0.3500001,0.5000001,0.7000001,0.8,0.8000001},
    {1,2,5,7,7,7.5,8}
  )
)</f>
        <v>7</v>
      </c>
      <c r="F416" s="27">
        <f>IF(F415=0, "",
  LOOKUP(F414/F415,
    {0,0.2000001,0.3500001,0.5000001,0.7000001,0.8,0.8000001},
    {1,2,5,7,7,7.5,8}
  )
)</f>
        <v>7</v>
      </c>
      <c r="G416" s="27">
        <f>IF(G415=0, "",
  LOOKUP(G414/G415,
    {0,0.2000001,0.3500001,0.5000001,0.7000001,0.8,0.8000001},
    {1,2,5,7,7,7.5,8}
  )
)</f>
        <v>1</v>
      </c>
      <c r="H416" s="27">
        <f>IF(H415=0, "",
  LOOKUP(H414/H415,
    {0,0.2000001,0.3500001,0.5000001,0.7000001,0.8,0.8000001},
    {1,2,5,7,7,7.5,8}
  )
)</f>
        <v>7</v>
      </c>
      <c r="I416" s="27">
        <f>IF(I415=0, "",
  LOOKUP(I414/I415,
    {0,0.2000001,0.3500001,0.5000001,0.7000001,0.8,0.8000001},
    {1,2,5,7,7,7.5,8}
  )
)</f>
        <v>7</v>
      </c>
      <c r="J416" s="27">
        <f>IF(J415=0, "",
  LOOKUP(J414/J415,
    {0,0.2000001,0.3500001,0.5000001,0.7000001,0.8,0.8000001},
    {1,2,5,7,7,7.5,8}
  )
)</f>
        <v>2</v>
      </c>
      <c r="K416" s="27">
        <f>IF(K415=0, "",
  LOOKUP(K414/K415,
    {0,0.2000001,0.3500001,0.5000001,0.7000001,0.8,0.8000001},
    {1,2,5,7,7,7.5,8}
  )
)</f>
        <v>7</v>
      </c>
      <c r="L416" s="27">
        <f>IF(L415=0, "",
  LOOKUP(L414/L415,
    {0,0.2000001,0.3500001,0.5000001,0.7000001,0.8,0.8000001},
    {1,2,5,7,7,7.5,8}
  )
)</f>
        <v>5</v>
      </c>
      <c r="M416" s="27"/>
      <c r="N416" s="27">
        <f>AVERAGE(E416:L416)</f>
        <v>5.375</v>
      </c>
      <c r="O416" s="34" t="s">
        <v>205</v>
      </c>
    </row>
    <row r="417" spans="1:15" ht="15" thickBot="1" x14ac:dyDescent="0.4"/>
    <row r="418" spans="1:15" s="18" customFormat="1" ht="15" thickBot="1" x14ac:dyDescent="0.4">
      <c r="A418" s="17">
        <v>45835</v>
      </c>
      <c r="B418" s="14" t="s">
        <v>225</v>
      </c>
      <c r="D418" s="30" t="s">
        <v>62</v>
      </c>
      <c r="E418" s="32">
        <f>0.5+0.7</f>
        <v>1.2</v>
      </c>
      <c r="F418" s="19">
        <v>1.5</v>
      </c>
      <c r="G418" s="19">
        <v>1</v>
      </c>
      <c r="H418" s="19">
        <f>0.7+0.5+0.5+0.8</f>
        <v>2.5</v>
      </c>
      <c r="I418" s="19">
        <f>0.5+0.6+0.6+0.3</f>
        <v>2</v>
      </c>
      <c r="J418" s="19">
        <f>8+1+0.7</f>
        <v>9.6999999999999993</v>
      </c>
      <c r="K418" s="19">
        <f>0+0.7+0.8</f>
        <v>1.5</v>
      </c>
      <c r="L418" s="19">
        <f>1+0.8+0.7</f>
        <v>2.5</v>
      </c>
      <c r="M418" s="19"/>
    </row>
    <row r="419" spans="1:15" s="22" customFormat="1" ht="15" thickBot="1" x14ac:dyDescent="0.4">
      <c r="A419" s="17">
        <v>45835</v>
      </c>
      <c r="B419" s="14" t="s">
        <v>225</v>
      </c>
      <c r="D419" s="22" t="s">
        <v>57</v>
      </c>
      <c r="E419" s="23">
        <v>2</v>
      </c>
      <c r="F419" s="23">
        <v>2</v>
      </c>
      <c r="G419" s="23">
        <v>1</v>
      </c>
      <c r="H419" s="23">
        <v>4</v>
      </c>
      <c r="I419" s="23">
        <v>4</v>
      </c>
      <c r="J419" s="23">
        <v>3</v>
      </c>
      <c r="K419" s="23">
        <v>3</v>
      </c>
      <c r="L419" s="23">
        <v>3</v>
      </c>
      <c r="M419" s="23"/>
    </row>
    <row r="420" spans="1:15" s="26" customFormat="1" ht="15" thickBot="1" x14ac:dyDescent="0.4">
      <c r="A420" s="17">
        <v>45835</v>
      </c>
      <c r="B420" s="14" t="s">
        <v>225</v>
      </c>
      <c r="D420" s="26" t="s">
        <v>58</v>
      </c>
      <c r="E420" s="27">
        <f>IF(E419=0, "",
  LOOKUP(E418/E419,
    {0,0.2000001,0.3500001,0.5000001,0.7000001,0.8,0.8000001},
    {1,2,5,7,7,7.5,8}
  )
)</f>
        <v>7</v>
      </c>
      <c r="F420" s="27">
        <f>IF(F419=0, "",
  LOOKUP(F418/F419,
    {0,0.2000001,0.3500001,0.5000001,0.7000001,0.8,0.8000001},
    {1,2,5,7,7,7.5,8}
  )
)</f>
        <v>7</v>
      </c>
      <c r="G420" s="27">
        <f>IF(G419=0, "",
  LOOKUP(G418/G419,
    {0,0.2000001,0.3500001,0.5000001,0.7000001,0.8,0.8000001},
    {1,2,5,7,7,7.5,8}
  )
)</f>
        <v>8</v>
      </c>
      <c r="H420" s="27">
        <f>IF(H419=0, "",
  LOOKUP(H418/H419,
    {0,0.2000001,0.3500001,0.5000001,0.7000001,0.8,0.8000001},
    {1,2,5,7,7,7.5,8}
  )
)</f>
        <v>7</v>
      </c>
      <c r="I420" s="27">
        <f>IF(I419=0, "",
  LOOKUP(I418/I419,
    {0,0.2000001,0.3500001,0.5000001,0.7000001,0.8,0.8000001},
    {1,2,5,7,7,7.5,8}
  )
)</f>
        <v>5</v>
      </c>
      <c r="J420" s="27">
        <f>IF(J419=0, "",
  LOOKUP(J418/J419,
    {0,0.2000001,0.3500001,0.5000001,0.7000001,0.8,0.8000001},
    {1,2,5,7,7,7.5,8}
  )
)</f>
        <v>8</v>
      </c>
      <c r="K420" s="27">
        <f>IF(K419=0, "",
  LOOKUP(K418/K419,
    {0,0.2000001,0.3500001,0.5000001,0.7000001,0.8,0.8000001},
    {1,2,5,7,7,7.5,8}
  )
)</f>
        <v>5</v>
      </c>
      <c r="L420" s="27">
        <f>IF(L419=0, "",
  LOOKUP(L418/L419,
    {0,0.2000001,0.3500001,0.5000001,0.7000001,0.8,0.8000001},
    {1,2,5,7,7,7.5,8}
  )
)</f>
        <v>8</v>
      </c>
      <c r="M420" s="27"/>
      <c r="N420" s="27">
        <f>AVERAGE(E420:L420)</f>
        <v>6.875</v>
      </c>
      <c r="O420" s="34" t="s">
        <v>226</v>
      </c>
    </row>
    <row r="421" spans="1:15" ht="15" thickBot="1" x14ac:dyDescent="0.4"/>
    <row r="422" spans="1:15" s="18" customFormat="1" ht="15" thickBot="1" x14ac:dyDescent="0.4">
      <c r="A422" s="17">
        <v>45838</v>
      </c>
      <c r="B422" s="14" t="s">
        <v>227</v>
      </c>
      <c r="D422" s="30" t="s">
        <v>62</v>
      </c>
      <c r="E422" s="32">
        <f>0.4+0.2</f>
        <v>0.60000000000000009</v>
      </c>
      <c r="F422" s="19">
        <v>1.5</v>
      </c>
      <c r="G422" s="19">
        <v>0</v>
      </c>
      <c r="H422" s="19">
        <f>0.4+0.3+0.6+0.3</f>
        <v>1.5999999999999999</v>
      </c>
      <c r="I422" s="19">
        <f>0.3+0.5+0.6+0.4</f>
        <v>1.7999999999999998</v>
      </c>
      <c r="J422" s="19">
        <f>0.4+0.3+0.7</f>
        <v>1.4</v>
      </c>
      <c r="K422" s="19">
        <f>0.3+0.5+0.7</f>
        <v>1.5</v>
      </c>
      <c r="L422" s="19">
        <f>0+0.8+0</f>
        <v>0.8</v>
      </c>
      <c r="M422" s="19"/>
    </row>
    <row r="423" spans="1:15" s="22" customFormat="1" ht="15" thickBot="1" x14ac:dyDescent="0.4">
      <c r="A423" s="17">
        <v>45838</v>
      </c>
      <c r="B423" s="14" t="s">
        <v>227</v>
      </c>
      <c r="D423" s="22" t="s">
        <v>57</v>
      </c>
      <c r="E423" s="23">
        <v>2</v>
      </c>
      <c r="F423" s="23">
        <v>2</v>
      </c>
      <c r="G423" s="23">
        <v>1</v>
      </c>
      <c r="H423" s="23">
        <v>4</v>
      </c>
      <c r="I423" s="23">
        <v>4</v>
      </c>
      <c r="J423" s="23">
        <v>3</v>
      </c>
      <c r="K423" s="23">
        <v>3</v>
      </c>
      <c r="L423" s="23">
        <v>3</v>
      </c>
      <c r="M423" s="23"/>
    </row>
    <row r="424" spans="1:15" s="26" customFormat="1" ht="15" thickBot="1" x14ac:dyDescent="0.4">
      <c r="A424" s="17">
        <v>45838</v>
      </c>
      <c r="B424" s="14" t="s">
        <v>227</v>
      </c>
      <c r="D424" s="26" t="s">
        <v>58</v>
      </c>
      <c r="E424" s="27">
        <f>IF(E423=0, "",
  LOOKUP(E422/E423,
    {0,0.2000001,0.3500001,0.5000001,0.7000001,0.8,0.8000001},
    {1,2,5,7,7,7.5,8}
  )
)</f>
        <v>2</v>
      </c>
      <c r="F424" s="27">
        <f>IF(F423=0, "",
  LOOKUP(F422/F423,
    {0,0.2000001,0.3500001,0.5000001,0.7000001,0.8,0.8000001},
    {1,2,5,7,7,7.5,8}
  )
)</f>
        <v>7</v>
      </c>
      <c r="G424" s="27">
        <f>IF(G423=0, "",
  LOOKUP(G422/G423,
    {0,0.2000001,0.3500001,0.5000001,0.7000001,0.8,0.8000001},
    {1,2,5,7,7,7.5,8}
  )
)</f>
        <v>1</v>
      </c>
      <c r="H424" s="27">
        <f>IF(H423=0, "",
  LOOKUP(H422/H423,
    {0,0.2000001,0.3500001,0.5000001,0.7000001,0.8,0.8000001},
    {1,2,5,7,7,7.5,8}
  )
)</f>
        <v>5</v>
      </c>
      <c r="I424" s="27">
        <f>IF(I423=0, "",
  LOOKUP(I422/I423,
    {0,0.2000001,0.3500001,0.5000001,0.7000001,0.8,0.8000001},
    {1,2,5,7,7,7.5,8}
  )
)</f>
        <v>5</v>
      </c>
      <c r="J424" s="27">
        <f>IF(J423=0, "",
  LOOKUP(J422/J423,
    {0,0.2000001,0.3500001,0.5000001,0.7000001,0.8,0.8000001},
    {1,2,5,7,7,7.5,8}
  )
)</f>
        <v>5</v>
      </c>
      <c r="K424" s="27">
        <f>IF(K423=0, "",
  LOOKUP(K422/K423,
    {0,0.2000001,0.3500001,0.5000001,0.7000001,0.8,0.8000001},
    {1,2,5,7,7,7.5,8}
  )
)</f>
        <v>5</v>
      </c>
      <c r="L424" s="27">
        <f>IF(L423=0, "",
  LOOKUP(L422/L423,
    {0,0.2000001,0.3500001,0.5000001,0.7000001,0.8,0.8000001},
    {1,2,5,7,7,7.5,8}
  )
)</f>
        <v>2</v>
      </c>
      <c r="M424" s="27"/>
      <c r="N424" s="27">
        <f>AVERAGE(E424:L424)</f>
        <v>4</v>
      </c>
      <c r="O424" s="34" t="s">
        <v>195</v>
      </c>
    </row>
    <row r="425" spans="1:15" ht="15" thickBot="1" x14ac:dyDescent="0.4"/>
    <row r="426" spans="1:15" s="18" customFormat="1" ht="15" thickBot="1" x14ac:dyDescent="0.4">
      <c r="A426" s="17">
        <v>45838</v>
      </c>
      <c r="B426" s="14" t="s">
        <v>228</v>
      </c>
      <c r="D426" s="30" t="s">
        <v>62</v>
      </c>
      <c r="E426" s="32">
        <f>0.2+0</f>
        <v>0.2</v>
      </c>
      <c r="F426" s="19">
        <v>1.5</v>
      </c>
      <c r="G426" s="19">
        <v>0</v>
      </c>
      <c r="H426" s="19">
        <f>0.3+0.1+0+0.2</f>
        <v>0.60000000000000009</v>
      </c>
      <c r="I426" s="19">
        <f>0.1+0+0+0</f>
        <v>0.1</v>
      </c>
      <c r="J426" s="19">
        <f>0.8+0+0</f>
        <v>0.8</v>
      </c>
      <c r="K426" s="19">
        <f>0+0.5+0.4</f>
        <v>0.9</v>
      </c>
      <c r="L426" s="19">
        <f>0+0.6+0.4</f>
        <v>1</v>
      </c>
      <c r="M426" s="19"/>
    </row>
    <row r="427" spans="1:15" s="22" customFormat="1" ht="15" thickBot="1" x14ac:dyDescent="0.4">
      <c r="A427" s="17">
        <v>45838</v>
      </c>
      <c r="B427" s="14" t="s">
        <v>228</v>
      </c>
      <c r="D427" s="22" t="s">
        <v>57</v>
      </c>
      <c r="E427" s="23">
        <v>2</v>
      </c>
      <c r="F427" s="23">
        <v>2</v>
      </c>
      <c r="G427" s="23">
        <v>1</v>
      </c>
      <c r="H427" s="23">
        <v>4</v>
      </c>
      <c r="I427" s="23">
        <v>4</v>
      </c>
      <c r="J427" s="23">
        <v>3</v>
      </c>
      <c r="K427" s="23">
        <v>3</v>
      </c>
      <c r="L427" s="23">
        <v>3</v>
      </c>
      <c r="M427" s="23"/>
    </row>
    <row r="428" spans="1:15" s="26" customFormat="1" ht="15" thickBot="1" x14ac:dyDescent="0.4">
      <c r="A428" s="17">
        <v>45838</v>
      </c>
      <c r="B428" s="14" t="s">
        <v>228</v>
      </c>
      <c r="D428" s="26" t="s">
        <v>58</v>
      </c>
      <c r="E428" s="27">
        <f>IF(E427=0, "",
  LOOKUP(E426/E427,
    {0,0.2000001,0.3500001,0.5000001,0.7000001,0.8,0.8000001},
    {1,2,5,7,7,7.5,8}
  )
)</f>
        <v>1</v>
      </c>
      <c r="F428" s="27">
        <f>IF(F427=0, "",
  LOOKUP(F426/F427,
    {0,0.2000001,0.3500001,0.5000001,0.7000001,0.8,0.8000001},
    {1,2,5,7,7,7.5,8}
  )
)</f>
        <v>7</v>
      </c>
      <c r="G428" s="27">
        <f>IF(G427=0, "",
  LOOKUP(G426/G427,
    {0,0.2000001,0.3500001,0.5000001,0.7000001,0.8,0.8000001},
    {1,2,5,7,7,7.5,8}
  )
)</f>
        <v>1</v>
      </c>
      <c r="H428" s="27">
        <f>IF(H427=0, "",
  LOOKUP(H426/H427,
    {0,0.2000001,0.3500001,0.5000001,0.7000001,0.8,0.8000001},
    {1,2,5,7,7,7.5,8}
  )
)</f>
        <v>1</v>
      </c>
      <c r="I428" s="27">
        <f>IF(I427=0, "",
  LOOKUP(I426/I427,
    {0,0.2000001,0.3500001,0.5000001,0.7000001,0.8,0.8000001},
    {1,2,5,7,7,7.5,8}
  )
)</f>
        <v>1</v>
      </c>
      <c r="J428" s="27">
        <f>IF(J427=0, "",
  LOOKUP(J426/J427,
    {0,0.2000001,0.3500001,0.5000001,0.7000001,0.8,0.8000001},
    {1,2,5,7,7,7.5,8}
  )
)</f>
        <v>2</v>
      </c>
      <c r="K428" s="27">
        <f>IF(K427=0, "",
  LOOKUP(K426/K427,
    {0,0.2000001,0.3500001,0.5000001,0.7000001,0.8,0.8000001},
    {1,2,5,7,7,7.5,8}
  )
)</f>
        <v>2</v>
      </c>
      <c r="L428" s="27">
        <f>IF(L427=0, "",
  LOOKUP(L426/L427,
    {0,0.2000001,0.3500001,0.5000001,0.7000001,0.8,0.8000001},
    {1,2,5,7,7,7.5,8}
  )
)</f>
        <v>2</v>
      </c>
      <c r="M428" s="27"/>
      <c r="N428" s="27">
        <f>AVERAGE(E428:L428)</f>
        <v>2.125</v>
      </c>
      <c r="O428" s="34" t="s">
        <v>229</v>
      </c>
    </row>
    <row r="429" spans="1:15" ht="15" thickBot="1" x14ac:dyDescent="0.4"/>
    <row r="430" spans="1:15" s="18" customFormat="1" ht="15" thickBot="1" x14ac:dyDescent="0.4">
      <c r="A430" s="17">
        <v>45839</v>
      </c>
      <c r="B430" s="14" t="s">
        <v>200</v>
      </c>
      <c r="D430" s="30" t="s">
        <v>62</v>
      </c>
      <c r="E430" s="19">
        <f>1+0.5</f>
        <v>1.5</v>
      </c>
      <c r="F430" s="19">
        <v>1</v>
      </c>
      <c r="G430" s="19">
        <v>1</v>
      </c>
      <c r="H430" s="19">
        <f>0.5+0.4+0.4+0.7</f>
        <v>2</v>
      </c>
      <c r="I430" s="19">
        <f>0.5+0.6+0.6+0.5</f>
        <v>2.2000000000000002</v>
      </c>
      <c r="J430" s="19">
        <f>1+0.7+0.5</f>
        <v>2.2000000000000002</v>
      </c>
      <c r="K430" s="19">
        <f>0.5+0.5+0.6</f>
        <v>1.6</v>
      </c>
      <c r="L430" s="19">
        <f>0.5+0.5+0.3</f>
        <v>1.3</v>
      </c>
      <c r="M430" s="19"/>
    </row>
    <row r="431" spans="1:15" s="22" customFormat="1" ht="15" thickBot="1" x14ac:dyDescent="0.4">
      <c r="A431" s="17">
        <v>45839</v>
      </c>
      <c r="B431" s="14" t="s">
        <v>200</v>
      </c>
      <c r="D431" s="22" t="s">
        <v>57</v>
      </c>
      <c r="E431" s="23">
        <v>2</v>
      </c>
      <c r="F431" s="23">
        <v>2</v>
      </c>
      <c r="G431" s="23">
        <v>1</v>
      </c>
      <c r="H431" s="23">
        <v>4</v>
      </c>
      <c r="I431" s="23">
        <v>4</v>
      </c>
      <c r="J431" s="23">
        <v>3</v>
      </c>
      <c r="K431" s="23">
        <v>3</v>
      </c>
      <c r="L431" s="23">
        <v>3</v>
      </c>
      <c r="M431" s="23"/>
    </row>
    <row r="432" spans="1:15" s="26" customFormat="1" ht="15" thickBot="1" x14ac:dyDescent="0.4">
      <c r="A432" s="17">
        <v>45839</v>
      </c>
      <c r="B432" s="14" t="s">
        <v>200</v>
      </c>
      <c r="D432" s="26" t="s">
        <v>58</v>
      </c>
      <c r="E432" s="27">
        <f>IF(E431=0, "",
  LOOKUP(E430/E431,
    {0,0.2000001,0.3500001,0.5000001,0.7000001,0.8,0.8000001},
    {1,2,5,7,7,7.5,8}
  )
)</f>
        <v>7</v>
      </c>
      <c r="F432" s="27">
        <f>IF(F431=0, "",
  LOOKUP(F430/F431,
    {0,0.2000001,0.3500001,0.5000001,0.7000001,0.8,0.8000001},
    {1,2,5,7,7,7.5,8}
  )
)</f>
        <v>5</v>
      </c>
      <c r="G432" s="27">
        <f>IF(G431=0, "",
  LOOKUP(G430/G431,
    {0,0.2000001,0.3500001,0.5000001,0.7000001,0.8,0.8000001},
    {1,2,5,7,7,7.5,8}
  )
)</f>
        <v>8</v>
      </c>
      <c r="H432" s="27">
        <f>IF(H431=0, "",
  LOOKUP(H430/H431,
    {0,0.2000001,0.3500001,0.5000001,0.7000001,0.8,0.8000001},
    {1,2,5,7,7,7.5,8}
  )
)</f>
        <v>5</v>
      </c>
      <c r="I432" s="27">
        <f>IF(I431=0, "",
  LOOKUP(I430/I431,
    {0,0.2000001,0.3500001,0.5000001,0.7000001,0.8,0.8000001},
    {1,2,5,7,7,7.5,8}
  )
)</f>
        <v>7</v>
      </c>
      <c r="J432" s="27">
        <f>IF(J431=0, "",
  LOOKUP(J430/J431,
    {0,0.2000001,0.3500001,0.5000001,0.7000001,0.8,0.8000001},
    {1,2,5,7,7,7.5,8}
  )
)</f>
        <v>7</v>
      </c>
      <c r="K432" s="27">
        <f>IF(K431=0, "",
  LOOKUP(K430/K431,
    {0,0.2000001,0.3500001,0.5000001,0.7000001,0.8,0.8000001},
    {1,2,5,7,7,7.5,8}
  )
)</f>
        <v>7</v>
      </c>
      <c r="L432" s="27">
        <f>IF(L431=0, "",
  LOOKUP(L430/L431,
    {0,0.2000001,0.3500001,0.5000001,0.7000001,0.8,0.8000001},
    {1,2,5,7,7,7.5,8}
  )
)</f>
        <v>5</v>
      </c>
      <c r="M432" s="27"/>
      <c r="N432" s="27">
        <f>AVERAGE(E432:L432)</f>
        <v>6.375</v>
      </c>
      <c r="O432" s="34" t="s">
        <v>201</v>
      </c>
    </row>
    <row r="433" spans="1:15" ht="15" thickBot="1" x14ac:dyDescent="0.4"/>
    <row r="434" spans="1:15" s="18" customFormat="1" ht="15" thickBot="1" x14ac:dyDescent="0.4">
      <c r="A434" s="17">
        <v>45843</v>
      </c>
      <c r="B434" s="14" t="s">
        <v>230</v>
      </c>
      <c r="D434" s="30" t="s">
        <v>62</v>
      </c>
      <c r="E434" s="19">
        <f>0.8+0.5</f>
        <v>1.3</v>
      </c>
      <c r="F434" s="19">
        <v>1</v>
      </c>
      <c r="G434" s="19">
        <v>1</v>
      </c>
      <c r="H434" s="19">
        <f>0.8+0.5+0.8+0.8</f>
        <v>2.9000000000000004</v>
      </c>
      <c r="I434" s="19">
        <f>0.5+0.6+0.6+0.5</f>
        <v>2.2000000000000002</v>
      </c>
      <c r="J434" s="19">
        <f>1+0.7+0.5</f>
        <v>2.2000000000000002</v>
      </c>
      <c r="K434" s="19">
        <f>0.5+0.5+0.6</f>
        <v>1.6</v>
      </c>
      <c r="L434" s="19">
        <f>0.5+0.5+0.3</f>
        <v>1.3</v>
      </c>
      <c r="M434" s="19"/>
    </row>
    <row r="435" spans="1:15" s="22" customFormat="1" ht="15" thickBot="1" x14ac:dyDescent="0.4">
      <c r="A435" s="17">
        <v>45843</v>
      </c>
      <c r="B435" s="14" t="s">
        <v>230</v>
      </c>
      <c r="D435" s="22" t="s">
        <v>57</v>
      </c>
      <c r="E435" s="23">
        <v>2</v>
      </c>
      <c r="F435" s="23">
        <v>2</v>
      </c>
      <c r="G435" s="23">
        <v>1</v>
      </c>
      <c r="H435" s="23">
        <v>4</v>
      </c>
      <c r="I435" s="23">
        <v>4</v>
      </c>
      <c r="J435" s="23">
        <v>3</v>
      </c>
      <c r="K435" s="23">
        <v>3</v>
      </c>
      <c r="L435" s="23">
        <v>3</v>
      </c>
      <c r="M435" s="23"/>
    </row>
    <row r="436" spans="1:15" s="26" customFormat="1" ht="15" thickBot="1" x14ac:dyDescent="0.4">
      <c r="A436" s="17">
        <v>45843</v>
      </c>
      <c r="B436" s="14" t="s">
        <v>200</v>
      </c>
      <c r="D436" s="26" t="s">
        <v>58</v>
      </c>
      <c r="E436" s="27">
        <f>IF(E435=0, "",
  LOOKUP(E434/E435,
    {0,0.2000001,0.3500001,0.5000001,0.7000001,0.8,0.8000001},
    {1,2,5,7,7,7.5,8}
  )
)</f>
        <v>7</v>
      </c>
      <c r="F436" s="27">
        <f>IF(F435=0, "",
  LOOKUP(F434/F435,
    {0,0.2000001,0.3500001,0.5000001,0.7000001,0.8,0.8000001},
    {1,2,5,7,7,7.5,8}
  )
)</f>
        <v>5</v>
      </c>
      <c r="G436" s="27">
        <f>IF(G435=0, "",
  LOOKUP(G434/G435,
    {0,0.2000001,0.3500001,0.5000001,0.7000001,0.8,0.8000001},
    {1,2,5,7,7,7.5,8}
  )
)</f>
        <v>8</v>
      </c>
      <c r="H436" s="27">
        <f>IF(H435=0, "",
  LOOKUP(H434/H435,
    {0,0.2000001,0.3500001,0.5000001,0.7000001,0.8,0.8000001},
    {1,2,5,7,7,7.5,8}
  )
)</f>
        <v>7</v>
      </c>
      <c r="I436" s="27">
        <f>IF(I435=0, "",
  LOOKUP(I434/I435,
    {0,0.2000001,0.3500001,0.5000001,0.7000001,0.8,0.8000001},
    {1,2,5,7,7,7.5,8}
  )
)</f>
        <v>7</v>
      </c>
      <c r="J436" s="27">
        <f>IF(J435=0, "",
  LOOKUP(J434/J435,
    {0,0.2000001,0.3500001,0.5000001,0.7000001,0.8,0.8000001},
    {1,2,5,7,7,7.5,8}
  )
)</f>
        <v>7</v>
      </c>
      <c r="K436" s="27">
        <f>IF(K435=0, "",
  LOOKUP(K434/K435,
    {0,0.2000001,0.3500001,0.5000001,0.7000001,0.8,0.8000001},
    {1,2,5,7,7,7.5,8}
  )
)</f>
        <v>7</v>
      </c>
      <c r="L436" s="27">
        <f>IF(L435=0, "",
  LOOKUP(L434/L435,
    {0,0.2000001,0.3500001,0.5000001,0.7000001,0.8,0.8000001},
    {1,2,5,7,7,7.5,8}
  )
)</f>
        <v>5</v>
      </c>
      <c r="M436" s="27"/>
      <c r="N436" s="27">
        <f>AVERAGE(E436:L436)</f>
        <v>6.625</v>
      </c>
      <c r="O436" s="34" t="s">
        <v>201</v>
      </c>
    </row>
    <row r="437" spans="1:15" ht="15" thickBot="1" x14ac:dyDescent="0.4"/>
    <row r="438" spans="1:15" ht="18" customHeight="1" thickBot="1" x14ac:dyDescent="0.4">
      <c r="A438" s="17">
        <v>45845</v>
      </c>
      <c r="B438" s="14" t="s">
        <v>231</v>
      </c>
      <c r="C438" s="18"/>
      <c r="D438" s="30" t="s">
        <v>62</v>
      </c>
      <c r="E438" s="19">
        <f>0.2+0.2</f>
        <v>0.4</v>
      </c>
      <c r="F438" s="19">
        <v>2</v>
      </c>
      <c r="G438" s="19">
        <v>0</v>
      </c>
      <c r="H438" s="19">
        <f>0.3+0.3+0+0</f>
        <v>0.6</v>
      </c>
      <c r="I438" s="19">
        <f>0.7+0+0.3+0.5</f>
        <v>1.5</v>
      </c>
      <c r="J438" s="19">
        <f>0.2+0+0.8</f>
        <v>1</v>
      </c>
      <c r="K438" s="19">
        <f>0.2+0.3+0.5</f>
        <v>1</v>
      </c>
      <c r="L438" s="19">
        <f>0.2+0.3+0.7</f>
        <v>1.2</v>
      </c>
      <c r="M438" s="19"/>
      <c r="N438" s="18"/>
      <c r="O438" s="18"/>
    </row>
    <row r="439" spans="1:15" ht="15" thickBot="1" x14ac:dyDescent="0.4">
      <c r="A439" s="17">
        <v>45845</v>
      </c>
      <c r="B439" s="14" t="s">
        <v>231</v>
      </c>
      <c r="C439" s="22"/>
      <c r="D439" s="22" t="s">
        <v>57</v>
      </c>
      <c r="E439" s="23">
        <v>2</v>
      </c>
      <c r="F439" s="23">
        <v>2</v>
      </c>
      <c r="G439" s="23">
        <v>1</v>
      </c>
      <c r="H439" s="23">
        <v>4</v>
      </c>
      <c r="I439" s="23">
        <v>4</v>
      </c>
      <c r="J439" s="23">
        <v>3</v>
      </c>
      <c r="K439" s="23">
        <v>3</v>
      </c>
      <c r="L439" s="23">
        <v>3</v>
      </c>
      <c r="M439" s="23"/>
      <c r="N439" s="22"/>
      <c r="O439" s="22"/>
    </row>
    <row r="440" spans="1:15" ht="15" thickBot="1" x14ac:dyDescent="0.4">
      <c r="A440" s="17">
        <v>45845</v>
      </c>
      <c r="B440" s="14" t="s">
        <v>231</v>
      </c>
      <c r="C440" s="26"/>
      <c r="D440" s="26" t="s">
        <v>58</v>
      </c>
      <c r="E440" s="27">
        <f>IF(E439=0, "",
  LOOKUP(E438/E439,
    {0,0.2000001,0.3500001,0.5000001,0.7000001,0.8,0.8000001},
    {1,2,5,7,7,7.5,8}
  )
)</f>
        <v>1</v>
      </c>
      <c r="F440" s="27">
        <f>IF(F439=0, "",
  LOOKUP(F438/F439,
    {0,0.2000001,0.3500001,0.5000001,0.7000001,0.8,0.8000001},
    {1,2,5,7,7,7.5,8}
  )
)</f>
        <v>8</v>
      </c>
      <c r="G440" s="27">
        <f>IF(G439=0, "",
  LOOKUP(G438/G439,
    {0,0.2000001,0.3500001,0.5000001,0.7000001,0.8,0.8000001},
    {1,2,5,7,7,7.5,8}
  )
)</f>
        <v>1</v>
      </c>
      <c r="H440" s="27">
        <f>IF(H439=0, "",
  LOOKUP(H438/H439,
    {0,0.2000001,0.3500001,0.5000001,0.7000001,0.8,0.8000001},
    {1,2,5,7,7,7.5,8}
  )
)</f>
        <v>1</v>
      </c>
      <c r="I440" s="27">
        <f>IF(I439=0, "",
  LOOKUP(I438/I439,
    {0,0.2000001,0.3500001,0.5000001,0.7000001,0.8,0.8000001},
    {1,2,5,7,7,7.5,8}
  )
)</f>
        <v>5</v>
      </c>
      <c r="J440" s="27">
        <f>IF(J439=0, "",
  LOOKUP(J438/J439,
    {0,0.2000001,0.3500001,0.5000001,0.7000001,0.8,0.8000001},
    {1,2,5,7,7,7.5,8}
  )
)</f>
        <v>2</v>
      </c>
      <c r="K440" s="27">
        <f>IF(K439=0, "",
  LOOKUP(K438/K439,
    {0,0.2000001,0.3500001,0.5000001,0.7000001,0.8,0.8000001},
    {1,2,5,7,7,7.5,8}
  )
)</f>
        <v>2</v>
      </c>
      <c r="L440" s="27">
        <f>IF(L439=0, "",
  LOOKUP(L438/L439,
    {0,0.2000001,0.3500001,0.5000001,0.7000001,0.8,0.8000001},
    {1,2,5,7,7,7.5,8}
  )
)</f>
        <v>5</v>
      </c>
      <c r="M440" s="27"/>
      <c r="N440" s="27">
        <f>AVERAGE(E440:L440)</f>
        <v>3.125</v>
      </c>
      <c r="O440" s="29" t="s">
        <v>232</v>
      </c>
    </row>
    <row r="441" spans="1:15" ht="15" thickBot="1" x14ac:dyDescent="0.4"/>
    <row r="442" spans="1:15" ht="14" customHeight="1" thickBot="1" x14ac:dyDescent="0.4">
      <c r="A442" s="17">
        <v>45845</v>
      </c>
      <c r="B442" s="14" t="s">
        <v>233</v>
      </c>
      <c r="C442" s="18"/>
      <c r="D442" s="30" t="s">
        <v>62</v>
      </c>
      <c r="E442" s="19">
        <f>0.5+1</f>
        <v>1.5</v>
      </c>
      <c r="F442" s="19">
        <v>2</v>
      </c>
      <c r="G442" s="19">
        <v>1</v>
      </c>
      <c r="H442" s="19">
        <f>0.4+0+0+0.4</f>
        <v>0.8</v>
      </c>
      <c r="I442" s="19">
        <f>0.6+0+0.4+1</f>
        <v>2</v>
      </c>
      <c r="J442" s="19">
        <f>0+0+0</f>
        <v>0</v>
      </c>
      <c r="K442" s="19">
        <f>0+0+0</f>
        <v>0</v>
      </c>
      <c r="L442" s="19">
        <f>0.4+0+0</f>
        <v>0.4</v>
      </c>
      <c r="M442" s="19"/>
      <c r="N442" s="18"/>
      <c r="O442" s="18"/>
    </row>
    <row r="443" spans="1:15" ht="15" thickBot="1" x14ac:dyDescent="0.4">
      <c r="A443" s="17">
        <v>45845</v>
      </c>
      <c r="B443" s="14" t="s">
        <v>233</v>
      </c>
      <c r="C443" s="22"/>
      <c r="D443" s="22" t="s">
        <v>57</v>
      </c>
      <c r="E443" s="23">
        <v>2</v>
      </c>
      <c r="F443" s="23">
        <v>2</v>
      </c>
      <c r="G443" s="23">
        <v>1</v>
      </c>
      <c r="H443" s="23">
        <v>4</v>
      </c>
      <c r="I443" s="23">
        <v>4</v>
      </c>
      <c r="J443" s="23">
        <v>3</v>
      </c>
      <c r="K443" s="23">
        <v>3</v>
      </c>
      <c r="L443" s="23">
        <v>3</v>
      </c>
      <c r="M443" s="23"/>
      <c r="N443" s="22"/>
      <c r="O443" s="22"/>
    </row>
    <row r="444" spans="1:15" ht="15" thickBot="1" x14ac:dyDescent="0.4">
      <c r="A444" s="17">
        <v>45845</v>
      </c>
      <c r="B444" s="14" t="s">
        <v>233</v>
      </c>
      <c r="C444" s="26"/>
      <c r="D444" s="26" t="s">
        <v>58</v>
      </c>
      <c r="E444" s="27">
        <f>IF(E443=0, "",
  LOOKUP(E442/E443,
    {0,0.2000001,0.3500001,0.5000001,0.7000001,0.8,0.8000001},
    {1,2,5,7,7,7.5,8}
  )
)</f>
        <v>7</v>
      </c>
      <c r="F444" s="27">
        <f>IF(F443=0, "",
  LOOKUP(F442/F443,
    {0,0.2000001,0.3500001,0.5000001,0.7000001,0.8,0.8000001},
    {1,2,5,7,7,7.5,8}
  )
)</f>
        <v>8</v>
      </c>
      <c r="G444" s="27">
        <f>IF(G443=0, "",
  LOOKUP(G442/G443,
    {0,0.2000001,0.3500001,0.5000001,0.7000001,0.8,0.8000001},
    {1,2,5,7,7,7.5,8}
  )
)</f>
        <v>8</v>
      </c>
      <c r="H444" s="27">
        <f>IF(H443=0, "",
  LOOKUP(H442/H443,
    {0,0.2000001,0.3500001,0.5000001,0.7000001,0.8,0.8000001},
    {1,2,5,7,7,7.5,8}
  )
)</f>
        <v>1</v>
      </c>
      <c r="I444" s="27">
        <f>IF(I443=0, "",
  LOOKUP(I442/I443,
    {0,0.2000001,0.3500001,0.5000001,0.7000001,0.8,0.8000001},
    {1,2,5,7,7,7.5,8}
  )
)</f>
        <v>5</v>
      </c>
      <c r="J444" s="27">
        <f>IF(J443=0, "",
  LOOKUP(J442/J443,
    {0,0.2000001,0.3500001,0.5000001,0.7000001,0.8,0.8000001},
    {1,2,5,7,7,7.5,8}
  )
)</f>
        <v>1</v>
      </c>
      <c r="K444" s="27">
        <f>IF(K443=0, "",
  LOOKUP(K442/K443,
    {0,0.2000001,0.3500001,0.5000001,0.7000001,0.8,0.8000001},
    {1,2,5,7,7,7.5,8}
  )
)</f>
        <v>1</v>
      </c>
      <c r="L444" s="27">
        <f>IF(L443=0, "",
  LOOKUP(L442/L443,
    {0,0.2000001,0.3500001,0.5000001,0.7000001,0.8,0.8000001},
    {1,2,5,7,7,7.5,8}
  )
)</f>
        <v>1</v>
      </c>
      <c r="M444" s="27"/>
      <c r="N444" s="27">
        <f>AVERAGE(E444:L444)</f>
        <v>4</v>
      </c>
      <c r="O444" s="34" t="s">
        <v>234</v>
      </c>
    </row>
    <row r="445" spans="1:15" ht="15" thickBot="1" x14ac:dyDescent="0.4"/>
    <row r="446" spans="1:15" ht="14" customHeight="1" thickBot="1" x14ac:dyDescent="0.4">
      <c r="A446" s="17">
        <v>45849</v>
      </c>
      <c r="B446" s="14" t="s">
        <v>233</v>
      </c>
      <c r="C446" s="18"/>
      <c r="D446" s="30" t="s">
        <v>62</v>
      </c>
      <c r="E446" s="19">
        <f>0.4+0.2</f>
        <v>0.60000000000000009</v>
      </c>
      <c r="F446" s="19">
        <v>1</v>
      </c>
      <c r="G446" s="19">
        <v>0</v>
      </c>
      <c r="H446" s="19">
        <f>0.3+0.4+0.3+0.4</f>
        <v>1.4</v>
      </c>
      <c r="I446" s="19">
        <f>0.6+0+0.4+1</f>
        <v>2</v>
      </c>
      <c r="J446" s="19">
        <f>0.7+0.8+0.7</f>
        <v>2.2000000000000002</v>
      </c>
      <c r="K446" s="19">
        <f>0.3+0.4+1</f>
        <v>1.7</v>
      </c>
      <c r="L446" s="19">
        <f>0.1+0.1+0.1</f>
        <v>0.30000000000000004</v>
      </c>
      <c r="M446" s="19"/>
      <c r="N446" s="18"/>
      <c r="O446" s="18"/>
    </row>
    <row r="447" spans="1:15" ht="15" thickBot="1" x14ac:dyDescent="0.4">
      <c r="A447" s="17">
        <v>45849</v>
      </c>
      <c r="B447" s="14" t="s">
        <v>233</v>
      </c>
      <c r="C447" s="22"/>
      <c r="D447" s="22" t="s">
        <v>57</v>
      </c>
      <c r="E447" s="23">
        <v>2</v>
      </c>
      <c r="F447" s="23">
        <v>2</v>
      </c>
      <c r="G447" s="23">
        <v>1</v>
      </c>
      <c r="H447" s="23">
        <v>4</v>
      </c>
      <c r="I447" s="23">
        <v>4</v>
      </c>
      <c r="J447" s="23">
        <v>3</v>
      </c>
      <c r="K447" s="23">
        <v>3</v>
      </c>
      <c r="L447" s="23">
        <v>3</v>
      </c>
      <c r="M447" s="23"/>
      <c r="N447" s="22"/>
      <c r="O447" s="22"/>
    </row>
    <row r="448" spans="1:15" ht="15" thickBot="1" x14ac:dyDescent="0.4">
      <c r="A448" s="17">
        <v>45849</v>
      </c>
      <c r="B448" s="14" t="s">
        <v>233</v>
      </c>
      <c r="C448" s="26"/>
      <c r="D448" s="26" t="s">
        <v>58</v>
      </c>
      <c r="E448" s="27">
        <f>IF(E447=0, "",
  LOOKUP(E446/E447,
    {0,0.2000001,0.3500001,0.5000001,0.7000001,0.8,0.8000001},
    {1,2,5,7,7,7.5,8}
  )
)</f>
        <v>2</v>
      </c>
      <c r="F448" s="27">
        <f>IF(F447=0, "",
  LOOKUP(F446/F447,
    {0,0.2000001,0.3500001,0.5000001,0.7000001,0.8,0.8000001},
    {1,2,5,7,7,7.5,8}
  )
)</f>
        <v>5</v>
      </c>
      <c r="G448" s="27">
        <f>IF(G447=0, "",
  LOOKUP(G446/G447,
    {0,0.2000001,0.3500001,0.5000001,0.7000001,0.8,0.8000001},
    {1,2,5,7,7,7.5,8}
  )
)</f>
        <v>1</v>
      </c>
      <c r="H448" s="27">
        <f>IF(H447=0, "",
  LOOKUP(H446/H447,
    {0,0.2000001,0.3500001,0.5000001,0.7000001,0.8,0.8000001},
    {1,2,5,7,7,7.5,8}
  )
)</f>
        <v>2</v>
      </c>
      <c r="I448" s="27">
        <f>IF(I447=0, "",
  LOOKUP(I446/I447,
    {0,0.2000001,0.3500001,0.5000001,0.7000001,0.8,0.8000001},
    {1,2,5,7,7,7.5,8}
  )
)</f>
        <v>5</v>
      </c>
      <c r="J448" s="27">
        <f>IF(J447=0, "",
  LOOKUP(J446/J447,
    {0,0.2000001,0.3500001,0.5000001,0.7000001,0.8,0.8000001},
    {1,2,5,7,7,7.5,8}
  )
)</f>
        <v>7</v>
      </c>
      <c r="K448" s="27">
        <f>IF(K447=0, "",
  LOOKUP(K446/K447,
    {0,0.2000001,0.3500001,0.5000001,0.7000001,0.8,0.8000001},
    {1,2,5,7,7,7.5,8}
  )
)</f>
        <v>7</v>
      </c>
      <c r="L448" s="27">
        <f>IF(L447=0, "",
  LOOKUP(L446/L447,
    {0,0.2000001,0.3500001,0.5000001,0.7000001,0.8,0.8000001},
    {1,2,5,7,7,7.5,8}
  )
)</f>
        <v>1</v>
      </c>
      <c r="M448" s="27"/>
      <c r="N448" s="27">
        <f>AVERAGE(E448:L448)</f>
        <v>3.75</v>
      </c>
      <c r="O448" s="34" t="s">
        <v>235</v>
      </c>
    </row>
    <row r="449" spans="1:15" ht="15" thickBot="1" x14ac:dyDescent="0.4"/>
    <row r="450" spans="1:15" ht="15" thickBot="1" x14ac:dyDescent="0.4">
      <c r="A450" s="17">
        <v>45852</v>
      </c>
      <c r="B450" s="42" t="s">
        <v>236</v>
      </c>
      <c r="C450" s="18"/>
      <c r="D450" s="30" t="s">
        <v>62</v>
      </c>
      <c r="E450" s="19">
        <f>0.5+0</f>
        <v>0.5</v>
      </c>
      <c r="F450" s="19">
        <v>1</v>
      </c>
      <c r="G450" s="19">
        <v>0</v>
      </c>
      <c r="H450" s="19">
        <f>0.5+0+0+0.2</f>
        <v>0.7</v>
      </c>
      <c r="I450" s="19">
        <f>0.6+0+0.4+0</f>
        <v>1</v>
      </c>
      <c r="J450" s="19">
        <f>0+0.7+0.7</f>
        <v>1.4</v>
      </c>
      <c r="K450" s="19">
        <f>0.7+0.7+0.4</f>
        <v>1.7999999999999998</v>
      </c>
      <c r="L450" s="19">
        <f>0.2+0.8+0.6</f>
        <v>1.6</v>
      </c>
      <c r="M450" s="19"/>
      <c r="N450" s="18"/>
      <c r="O450" s="18"/>
    </row>
    <row r="451" spans="1:15" ht="15" thickBot="1" x14ac:dyDescent="0.4">
      <c r="A451" s="17">
        <v>45852</v>
      </c>
      <c r="B451" s="42" t="s">
        <v>236</v>
      </c>
      <c r="C451" s="22"/>
      <c r="D451" s="22" t="s">
        <v>57</v>
      </c>
      <c r="E451" s="23">
        <v>2</v>
      </c>
      <c r="F451" s="23">
        <v>2</v>
      </c>
      <c r="G451" s="23">
        <v>1</v>
      </c>
      <c r="H451" s="23">
        <v>4</v>
      </c>
      <c r="I451" s="23">
        <v>4</v>
      </c>
      <c r="J451" s="23">
        <v>3</v>
      </c>
      <c r="K451" s="23">
        <v>3</v>
      </c>
      <c r="L451" s="23">
        <v>3</v>
      </c>
      <c r="M451" s="23"/>
      <c r="N451" s="22"/>
      <c r="O451" s="22"/>
    </row>
    <row r="452" spans="1:15" ht="15" thickBot="1" x14ac:dyDescent="0.4">
      <c r="A452" s="17">
        <v>45852</v>
      </c>
      <c r="B452" s="42" t="s">
        <v>236</v>
      </c>
      <c r="C452" s="26"/>
      <c r="D452" s="26" t="s">
        <v>58</v>
      </c>
      <c r="E452" s="27">
        <f>IF(E451=0, "",
  LOOKUP(E450/E451,
    {0,0.2000001,0.3500001,0.5000001,0.7000001,0.8,0.8000001},
    {1,2,5,7,7,7.5,8}
  )
)</f>
        <v>2</v>
      </c>
      <c r="F452" s="27">
        <f>IF(F451=0, "",
  LOOKUP(F450/F451,
    {0,0.2000001,0.3500001,0.5000001,0.7000001,0.8,0.8000001},
    {1,2,5,7,7,7.5,8}
  )
)</f>
        <v>5</v>
      </c>
      <c r="G452" s="27">
        <f>IF(G451=0, "",
  LOOKUP(G450/G451,
    {0,0.2000001,0.3500001,0.5000001,0.7000001,0.8,0.8000001},
    {1,2,5,7,7,7.5,8}
  )
)</f>
        <v>1</v>
      </c>
      <c r="H452" s="27">
        <f>IF(H451=0, "",
  LOOKUP(H450/H451,
    {0,0.2000001,0.3500001,0.5000001,0.7000001,0.8,0.8000001},
    {1,2,5,7,7,7.5,8}
  )
)</f>
        <v>1</v>
      </c>
      <c r="I452" s="27">
        <f>IF(I451=0, "",
  LOOKUP(I450/I451,
    {0,0.2000001,0.3500001,0.5000001,0.7000001,0.8,0.8000001},
    {1,2,5,7,7,7.5,8}
  )
)</f>
        <v>2</v>
      </c>
      <c r="J452" s="27">
        <f>IF(J451=0, "",
  LOOKUP(J450/J451,
    {0,0.2000001,0.3500001,0.5000001,0.7000001,0.8,0.8000001},
    {1,2,5,7,7,7.5,8}
  )
)</f>
        <v>5</v>
      </c>
      <c r="K452" s="27">
        <f>IF(K451=0, "",
  LOOKUP(K450/K451,
    {0,0.2000001,0.3500001,0.5000001,0.7000001,0.8,0.8000001},
    {1,2,5,7,7,7.5,8}
  )
)</f>
        <v>7</v>
      </c>
      <c r="L452" s="27">
        <f>IF(L451=0, "",
  LOOKUP(L450/L451,
    {0,0.2000001,0.3500001,0.5000001,0.7000001,0.8,0.8000001},
    {1,2,5,7,7,7.5,8}
  )
)</f>
        <v>7</v>
      </c>
      <c r="M452" s="27"/>
      <c r="N452" s="27">
        <f>AVERAGE(E452:L452)</f>
        <v>3.75</v>
      </c>
      <c r="O452" s="34" t="s">
        <v>237</v>
      </c>
    </row>
    <row r="453" spans="1:15" ht="15" thickBot="1" x14ac:dyDescent="0.4"/>
    <row r="454" spans="1:15" ht="15" thickBot="1" x14ac:dyDescent="0.4">
      <c r="A454" s="17">
        <v>45861</v>
      </c>
      <c r="B454" s="42" t="s">
        <v>238</v>
      </c>
      <c r="C454" s="18"/>
      <c r="D454" s="30" t="s">
        <v>62</v>
      </c>
      <c r="E454" s="19">
        <f>0.5+0.5</f>
        <v>1</v>
      </c>
      <c r="F454" s="19">
        <v>1</v>
      </c>
      <c r="G454" s="19">
        <v>0</v>
      </c>
      <c r="H454" s="19">
        <f>0.5+0.3+0.4+0</f>
        <v>1.2000000000000002</v>
      </c>
      <c r="I454" s="19">
        <f>0.6+0.5+0.4+0.7</f>
        <v>2.2000000000000002</v>
      </c>
      <c r="J454" s="19">
        <f>0.5+0.7+1</f>
        <v>2.2000000000000002</v>
      </c>
      <c r="K454" s="19">
        <f>0.7+0.4+0.4</f>
        <v>1.5</v>
      </c>
      <c r="L454" s="19">
        <f>0.2+0.5+0.5</f>
        <v>1.2</v>
      </c>
      <c r="M454" s="19"/>
      <c r="N454" s="18"/>
      <c r="O454" s="18"/>
    </row>
    <row r="455" spans="1:15" ht="15" thickBot="1" x14ac:dyDescent="0.4">
      <c r="A455" s="17">
        <v>45861</v>
      </c>
      <c r="B455" s="42" t="s">
        <v>238</v>
      </c>
      <c r="C455" s="22"/>
      <c r="D455" s="22" t="s">
        <v>57</v>
      </c>
      <c r="E455" s="23">
        <v>2</v>
      </c>
      <c r="F455" s="23">
        <v>2</v>
      </c>
      <c r="G455" s="23">
        <v>1</v>
      </c>
      <c r="H455" s="23">
        <v>4</v>
      </c>
      <c r="I455" s="23">
        <v>4</v>
      </c>
      <c r="J455" s="23">
        <v>3</v>
      </c>
      <c r="K455" s="23">
        <v>3</v>
      </c>
      <c r="L455" s="23">
        <v>3</v>
      </c>
      <c r="M455" s="23"/>
      <c r="N455" s="22"/>
      <c r="O455" s="22"/>
    </row>
    <row r="456" spans="1:15" ht="15" thickBot="1" x14ac:dyDescent="0.4">
      <c r="A456" s="17">
        <v>45861</v>
      </c>
      <c r="B456" s="42" t="s">
        <v>238</v>
      </c>
      <c r="C456" s="26"/>
      <c r="D456" s="26" t="s">
        <v>58</v>
      </c>
      <c r="E456" s="27">
        <f>IF(E455=0, "",
  LOOKUP(E454/E455,
    {0,0.2000001,0.3500001,0.5000001,0.7000001,0.8,0.8000001},
    {1,2,5,7,7,7.5,8}
  )
)</f>
        <v>5</v>
      </c>
      <c r="F456" s="27">
        <f>IF(F455=0, "",
  LOOKUP(F454/F455,
    {0,0.2000001,0.3500001,0.5000001,0.7000001,0.8,0.8000001},
    {1,2,5,7,7,7.5,8}
  )
)</f>
        <v>5</v>
      </c>
      <c r="G456" s="27">
        <f>IF(G455=0, "",
  LOOKUP(G454/G455,
    {0,0.2000001,0.3500001,0.5000001,0.7000001,0.8,0.8000001},
    {1,2,5,7,7,7.5,8}
  )
)</f>
        <v>1</v>
      </c>
      <c r="H456" s="27">
        <f>IF(H455=0, "",
  LOOKUP(H454/H455,
    {0,0.2000001,0.3500001,0.5000001,0.7000001,0.8,0.8000001},
    {1,2,5,7,7,7.5,8}
  )
)</f>
        <v>2</v>
      </c>
      <c r="I456" s="27">
        <f>IF(I455=0, "",
  LOOKUP(I454/I455,
    {0,0.2000001,0.3500001,0.5000001,0.7000001,0.8,0.8000001},
    {1,2,5,7,7,7.5,8}
  )
)</f>
        <v>7</v>
      </c>
      <c r="J456" s="27">
        <f>IF(J455=0, "",
  LOOKUP(J454/J455,
    {0,0.2000001,0.3500001,0.5000001,0.7000001,0.8,0.8000001},
    {1,2,5,7,7,7.5,8}
  )
)</f>
        <v>7</v>
      </c>
      <c r="K456" s="27">
        <f>IF(K455=0, "",
  LOOKUP(K454/K455,
    {0,0.2000001,0.3500001,0.5000001,0.7000001,0.8,0.8000001},
    {1,2,5,7,7,7.5,8}
  )
)</f>
        <v>5</v>
      </c>
      <c r="L456" s="27">
        <f>IF(L455=0, "",
  LOOKUP(L454/L455,
    {0,0.2000001,0.3500001,0.5000001,0.7000001,0.8,0.8000001},
    {1,2,5,7,7,7.5,8}
  )
)</f>
        <v>5</v>
      </c>
      <c r="M456" s="27"/>
      <c r="N456" s="27">
        <f>AVERAGE(E456:L456)</f>
        <v>4.625</v>
      </c>
      <c r="O456" s="34" t="s">
        <v>239</v>
      </c>
    </row>
    <row r="457" spans="1:15" ht="15" thickBot="1" x14ac:dyDescent="0.4"/>
    <row r="458" spans="1:15" ht="15" thickBot="1" x14ac:dyDescent="0.4">
      <c r="A458" s="17">
        <v>45883</v>
      </c>
      <c r="B458" s="42" t="s">
        <v>240</v>
      </c>
      <c r="C458" s="18"/>
      <c r="D458" s="30" t="s">
        <v>62</v>
      </c>
      <c r="E458" s="19">
        <f>1+0.5</f>
        <v>1.5</v>
      </c>
      <c r="F458" s="19">
        <v>1</v>
      </c>
      <c r="G458" s="19">
        <v>0</v>
      </c>
      <c r="H458" s="19">
        <f>0+0.4+0.6+0.5</f>
        <v>1.5</v>
      </c>
      <c r="I458" s="19">
        <f>0+0.3+0.1+0.5</f>
        <v>0.9</v>
      </c>
      <c r="J458" s="19">
        <f>0+0+0.5+0.8</f>
        <v>1.3</v>
      </c>
      <c r="K458" s="19">
        <f>0.7+0.7+0.5</f>
        <v>1.9</v>
      </c>
      <c r="L458" s="19">
        <f>0.4+0.4+0.4</f>
        <v>1.2000000000000002</v>
      </c>
      <c r="M458" s="19"/>
      <c r="N458" s="18"/>
      <c r="O458" s="18"/>
    </row>
    <row r="459" spans="1:15" ht="15" thickBot="1" x14ac:dyDescent="0.4">
      <c r="A459" s="17">
        <v>45883</v>
      </c>
      <c r="B459" s="42" t="s">
        <v>240</v>
      </c>
      <c r="C459" s="22"/>
      <c r="D459" s="22" t="s">
        <v>57</v>
      </c>
      <c r="E459" s="23">
        <v>2</v>
      </c>
      <c r="F459" s="23">
        <v>2</v>
      </c>
      <c r="G459" s="23">
        <v>1</v>
      </c>
      <c r="H459" s="23">
        <v>4</v>
      </c>
      <c r="I459" s="23">
        <v>4</v>
      </c>
      <c r="J459" s="23">
        <v>4</v>
      </c>
      <c r="K459" s="23">
        <v>3</v>
      </c>
      <c r="L459" s="23">
        <v>3</v>
      </c>
      <c r="M459" s="23"/>
      <c r="N459" s="22"/>
      <c r="O459" s="22"/>
    </row>
    <row r="460" spans="1:15" ht="15" thickBot="1" x14ac:dyDescent="0.4">
      <c r="A460" s="17">
        <v>45883</v>
      </c>
      <c r="B460" s="42" t="s">
        <v>240</v>
      </c>
      <c r="C460" s="26"/>
      <c r="D460" s="26" t="s">
        <v>58</v>
      </c>
      <c r="E460" s="27">
        <f>IF(E459=0, "",
  LOOKUP(E458/E459,
    {0,0.2000001,0.3500001,0.5000001,0.7000001,0.8,0.8000001},
    {1,2,5,7,7,7.5,8}
  )
)</f>
        <v>7</v>
      </c>
      <c r="F460" s="27">
        <f>IF(F459=0, "",
  LOOKUP(F458/F459,
    {0,0.2000001,0.3500001,0.5000001,0.7000001,0.8,0.8000001},
    {1,2,5,7,7,7.5,8}
  )
)</f>
        <v>5</v>
      </c>
      <c r="G460" s="27">
        <f>IF(G459=0, "",
  LOOKUP(G458/G459,
    {0,0.2000001,0.3500001,0.5000001,0.7000001,0.8,0.8000001},
    {1,2,5,7,7,7.5,8}
  )
)</f>
        <v>1</v>
      </c>
      <c r="H460" s="27">
        <f>IF(H459=0, "",
  LOOKUP(H458/H459,
    {0,0.2000001,0.3500001,0.5000001,0.7000001,0.8,0.8000001},
    {1,2,5,7,7,7.5,8}
  )
)</f>
        <v>5</v>
      </c>
      <c r="I460" s="27">
        <f>IF(I459=0, "",
  LOOKUP(I458/I459,
    {0,0.2000001,0.3500001,0.5000001,0.7000001,0.8,0.8000001},
    {1,2,5,7,7,7.5,8}
  )
)</f>
        <v>2</v>
      </c>
      <c r="J460" s="27">
        <f>IF(J459=0, "",
  LOOKUP(J458/J459,
    {0,0.2000001,0.3500001,0.5000001,0.7000001,0.8,0.8000001},
    {1,2,5,7,7,7.5,8}
  )
)</f>
        <v>2</v>
      </c>
      <c r="K460" s="27">
        <f>IF(K459=0, "",
  LOOKUP(K458/K459,
    {0,0.2000001,0.3500001,0.5000001,0.7000001,0.8,0.8000001},
    {1,2,5,7,7,7.5,8}
  )
)</f>
        <v>7</v>
      </c>
      <c r="L460" s="27">
        <f>IF(L459=0, "",
  LOOKUP(L458/L459,
    {0,0.2000001,0.3500001,0.5000001,0.7000001,0.8,0.8000001},
    {1,2,5,7,7,7.5,8}
  )
)</f>
        <v>5</v>
      </c>
      <c r="M460" s="27"/>
      <c r="N460" s="27">
        <f>AVERAGE(E460:L460)</f>
        <v>4.25</v>
      </c>
      <c r="O460" s="34" t="s">
        <v>241</v>
      </c>
    </row>
    <row r="461" spans="1:15" ht="15" thickBot="1" x14ac:dyDescent="0.4"/>
    <row r="462" spans="1:15" ht="15" thickBot="1" x14ac:dyDescent="0.4">
      <c r="A462" s="17">
        <v>45888</v>
      </c>
      <c r="B462" s="42" t="s">
        <v>242</v>
      </c>
      <c r="C462" s="18"/>
      <c r="D462" s="30" t="s">
        <v>62</v>
      </c>
      <c r="E462" s="19">
        <f>0.4+0.4</f>
        <v>0.8</v>
      </c>
      <c r="F462" s="19">
        <v>1</v>
      </c>
      <c r="G462" s="19">
        <v>1</v>
      </c>
      <c r="H462" s="19">
        <f>0.6+0.5+0.5+0.5</f>
        <v>2.1</v>
      </c>
      <c r="I462" s="19">
        <f>0.2+0.3+0.5+0.5</f>
        <v>1.5</v>
      </c>
      <c r="J462" s="19">
        <f>0.7+0+0.7+0.5</f>
        <v>1.9</v>
      </c>
      <c r="K462" s="19">
        <f>0.2+0.5+0.6</f>
        <v>1.2999999999999998</v>
      </c>
      <c r="L462" s="19">
        <f>0+0.5+0.4</f>
        <v>0.9</v>
      </c>
      <c r="M462" s="19"/>
      <c r="N462" s="18"/>
      <c r="O462" s="18"/>
    </row>
    <row r="463" spans="1:15" ht="15" thickBot="1" x14ac:dyDescent="0.4">
      <c r="A463" s="17">
        <v>45888</v>
      </c>
      <c r="B463" s="42" t="s">
        <v>242</v>
      </c>
      <c r="C463" s="22"/>
      <c r="D463" s="22" t="s">
        <v>57</v>
      </c>
      <c r="E463" s="23">
        <v>2</v>
      </c>
      <c r="F463" s="23">
        <v>2</v>
      </c>
      <c r="G463" s="23">
        <v>1</v>
      </c>
      <c r="H463" s="23">
        <v>4</v>
      </c>
      <c r="I463" s="23">
        <v>4</v>
      </c>
      <c r="J463" s="23">
        <v>4</v>
      </c>
      <c r="K463" s="23">
        <v>3</v>
      </c>
      <c r="L463" s="23">
        <v>3</v>
      </c>
      <c r="M463" s="23"/>
      <c r="N463" s="22"/>
      <c r="O463" s="22"/>
    </row>
    <row r="464" spans="1:15" ht="15" thickBot="1" x14ac:dyDescent="0.4">
      <c r="A464" s="17">
        <v>45888</v>
      </c>
      <c r="B464" s="42" t="s">
        <v>242</v>
      </c>
      <c r="C464" s="26"/>
      <c r="D464" s="26" t="s">
        <v>58</v>
      </c>
      <c r="E464" s="27">
        <f>IF(E463=0, "",
  LOOKUP(E462/E463,
    {0,0.2000001,0.3500001,0.5000001,0.7000001,0.8,0.8000001},
    {1,2,5,7,7,7.5,8}
  )
)</f>
        <v>5</v>
      </c>
      <c r="F464" s="27">
        <f>IF(F463=0, "",
  LOOKUP(F462/F463,
    {0,0.2000001,0.3500001,0.5000001,0.7000001,0.8,0.8000001},
    {1,2,5,7,7,7.5,8}
  )
)</f>
        <v>5</v>
      </c>
      <c r="G464" s="27">
        <f>IF(G463=0, "",
  LOOKUP(G462/G463,
    {0,0.2000001,0.3500001,0.5000001,0.7000001,0.8,0.8000001},
    {1,2,5,7,7,7.5,8}
  )
)</f>
        <v>8</v>
      </c>
      <c r="H464" s="27">
        <f>IF(H463=0, "",
  LOOKUP(H462/H463,
    {0,0.2000001,0.3500001,0.5000001,0.7000001,0.8,0.8000001},
    {1,2,5,7,7,7.5,8}
  )
)</f>
        <v>7</v>
      </c>
      <c r="I464" s="27">
        <f>IF(I463=0, "",
  LOOKUP(I462/I463,
    {0,0.2000001,0.3500001,0.5000001,0.7000001,0.8,0.8000001},
    {1,2,5,7,7,7.5,8}
  )
)</f>
        <v>5</v>
      </c>
      <c r="J464" s="27">
        <f>IF(J463=0, "",
  LOOKUP(J462/J463,
    {0,0.2000001,0.3500001,0.5000001,0.7000001,0.8,0.8000001},
    {1,2,5,7,7,7.5,8}
  )
)</f>
        <v>5</v>
      </c>
      <c r="K464" s="27">
        <f>IF(K463=0, "",
  LOOKUP(K462/K463,
    {0,0.2000001,0.3500001,0.5000001,0.7000001,0.8,0.8000001},
    {1,2,5,7,7,7.5,8}
  )
)</f>
        <v>5</v>
      </c>
      <c r="L464" s="27">
        <f>IF(L463=0, "",
  LOOKUP(L462/L463,
    {0,0.2000001,0.3500001,0.5000001,0.7000001,0.8,0.8000001},
    {1,2,5,7,7,7.5,8}
  )
)</f>
        <v>2</v>
      </c>
      <c r="M464" s="27"/>
      <c r="N464" s="27">
        <f>AVERAGE(E464:L464)</f>
        <v>5.25</v>
      </c>
      <c r="O464" s="34" t="s">
        <v>243</v>
      </c>
    </row>
    <row r="465" spans="1:15" ht="15" thickBot="1" x14ac:dyDescent="0.4"/>
    <row r="466" spans="1:15" ht="15" thickBot="1" x14ac:dyDescent="0.4">
      <c r="A466" s="17">
        <v>45889</v>
      </c>
      <c r="B466" s="42" t="s">
        <v>244</v>
      </c>
      <c r="C466" s="18"/>
      <c r="D466" s="30" t="s">
        <v>62</v>
      </c>
      <c r="E466" s="19">
        <f>0+0</f>
        <v>0</v>
      </c>
      <c r="F466" s="19">
        <v>1</v>
      </c>
      <c r="G466" s="19">
        <v>0</v>
      </c>
      <c r="H466" s="19">
        <f>0+0+0+0+0</f>
        <v>0</v>
      </c>
      <c r="I466" s="19">
        <f>0+0+0+0</f>
        <v>0</v>
      </c>
      <c r="J466" s="19">
        <f>0.5+0.6+0.2+1</f>
        <v>2.2999999999999998</v>
      </c>
      <c r="K466" s="19">
        <f>0.2+0.7+8</f>
        <v>8.9</v>
      </c>
      <c r="L466" s="19">
        <f>0+0+0</f>
        <v>0</v>
      </c>
      <c r="M466" s="19"/>
      <c r="N466" s="18"/>
      <c r="O466" s="18"/>
    </row>
    <row r="467" spans="1:15" ht="15" thickBot="1" x14ac:dyDescent="0.4">
      <c r="A467" s="17">
        <v>45889</v>
      </c>
      <c r="B467" s="42" t="s">
        <v>244</v>
      </c>
      <c r="C467" s="22"/>
      <c r="D467" s="22" t="s">
        <v>57</v>
      </c>
      <c r="E467" s="23">
        <v>2</v>
      </c>
      <c r="F467" s="23">
        <v>2</v>
      </c>
      <c r="G467" s="23">
        <v>1</v>
      </c>
      <c r="H467" s="23">
        <v>4</v>
      </c>
      <c r="I467" s="23">
        <v>4</v>
      </c>
      <c r="J467" s="23">
        <v>4</v>
      </c>
      <c r="K467" s="23">
        <v>3</v>
      </c>
      <c r="L467" s="23">
        <v>3</v>
      </c>
      <c r="M467" s="23"/>
      <c r="N467" s="22"/>
      <c r="O467" s="22"/>
    </row>
    <row r="468" spans="1:15" ht="15" thickBot="1" x14ac:dyDescent="0.4">
      <c r="A468" s="17">
        <v>45889</v>
      </c>
      <c r="B468" s="42" t="s">
        <v>244</v>
      </c>
      <c r="C468" s="26"/>
      <c r="D468" s="26" t="s">
        <v>58</v>
      </c>
      <c r="E468" s="27">
        <f>IF(E467=0, "",
  LOOKUP(E466/E467,
    {0,0.2000001,0.3500001,0.5000001,0.7000001,0.8,0.8000001},
    {1,2,5,7,7,7.5,8}
  )
)</f>
        <v>1</v>
      </c>
      <c r="F468" s="27">
        <f>IF(F467=0, "",
  LOOKUP(F466/F467,
    {0,0.2000001,0.3500001,0.5000001,0.7000001,0.8,0.8000001},
    {1,2,5,7,7,7.5,8}
  )
)</f>
        <v>5</v>
      </c>
      <c r="G468" s="27">
        <f>IF(G467=0, "",
  LOOKUP(G466/G467,
    {0,0.2000001,0.3500001,0.5000001,0.7000001,0.8,0.8000001},
    {1,2,5,7,7,7.5,8}
  )
)</f>
        <v>1</v>
      </c>
      <c r="H468" s="27">
        <f>IF(H467=0, "",
  LOOKUP(H466/H467,
    {0,0.2000001,0.3500001,0.5000001,0.7000001,0.8,0.8000001},
    {1,2,5,7,7,7.5,8}
  )
)</f>
        <v>1</v>
      </c>
      <c r="I468" s="27">
        <f>IF(I467=0, "",
  LOOKUP(I466/I467,
    {0,0.2000001,0.3500001,0.5000001,0.7000001,0.8,0.8000001},
    {1,2,5,7,7,7.5,8}
  )
)</f>
        <v>1</v>
      </c>
      <c r="J468" s="27">
        <f>IF(J467=0, "",
  LOOKUP(J466/J467,
    {0,0.2000001,0.3500001,0.5000001,0.7000001,0.8,0.8000001},
    {1,2,5,7,7,7.5,8}
  )
)</f>
        <v>7</v>
      </c>
      <c r="K468" s="27">
        <f>IF(K467=0, "",
  LOOKUP(K466/K467,
    {0,0.2000001,0.3500001,0.5000001,0.7000001,0.8,0.8000001},
    {1,2,5,7,7,7.5,8}
  )
)</f>
        <v>8</v>
      </c>
      <c r="L468" s="27">
        <f>IF(L467=0, "",
  LOOKUP(L466/L467,
    {0,0.2000001,0.3500001,0.5000001,0.7000001,0.8,0.8000001},
    {1,2,5,7,7,7.5,8}
  )
)</f>
        <v>1</v>
      </c>
      <c r="M468" s="27"/>
      <c r="N468" s="27">
        <f>AVERAGE(E468:L468)</f>
        <v>3.125</v>
      </c>
      <c r="O468" s="34" t="s">
        <v>245</v>
      </c>
    </row>
    <row r="469" spans="1:15" ht="15" thickBot="1" x14ac:dyDescent="0.4"/>
    <row r="470" spans="1:15" ht="15" thickBot="1" x14ac:dyDescent="0.4">
      <c r="A470" s="17">
        <v>45889</v>
      </c>
      <c r="B470" s="42" t="s">
        <v>167</v>
      </c>
      <c r="C470" s="18"/>
      <c r="D470" s="30" t="s">
        <v>62</v>
      </c>
      <c r="E470" s="19">
        <f>0+0</f>
        <v>0</v>
      </c>
      <c r="F470" s="19">
        <v>1</v>
      </c>
      <c r="G470" s="19">
        <v>0</v>
      </c>
      <c r="H470" s="19">
        <f>0+0+0+0+0</f>
        <v>0</v>
      </c>
      <c r="I470" s="19">
        <f>0+0+0+0</f>
        <v>0</v>
      </c>
      <c r="J470" s="19">
        <f>0+0+0+0</f>
        <v>0</v>
      </c>
      <c r="K470" s="19">
        <f>0+0+0+0</f>
        <v>0</v>
      </c>
      <c r="L470" s="19">
        <f>0+0+0</f>
        <v>0</v>
      </c>
      <c r="M470" s="19"/>
      <c r="N470" s="18"/>
      <c r="O470" s="18"/>
    </row>
    <row r="471" spans="1:15" ht="15" thickBot="1" x14ac:dyDescent="0.4">
      <c r="A471" s="17">
        <v>45889</v>
      </c>
      <c r="B471" s="42" t="s">
        <v>167</v>
      </c>
      <c r="C471" s="22"/>
      <c r="D471" s="22" t="s">
        <v>57</v>
      </c>
      <c r="E471" s="23">
        <v>2</v>
      </c>
      <c r="F471" s="23">
        <v>2</v>
      </c>
      <c r="G471" s="23">
        <v>1</v>
      </c>
      <c r="H471" s="23">
        <v>4</v>
      </c>
      <c r="I471" s="23">
        <v>4</v>
      </c>
      <c r="J471" s="23">
        <v>4</v>
      </c>
      <c r="K471" s="23">
        <v>3</v>
      </c>
      <c r="L471" s="23">
        <v>3</v>
      </c>
      <c r="M471" s="23"/>
      <c r="N471" s="22"/>
      <c r="O471" s="22"/>
    </row>
    <row r="472" spans="1:15" ht="15" thickBot="1" x14ac:dyDescent="0.4">
      <c r="A472" s="17">
        <v>45889</v>
      </c>
      <c r="B472" s="42" t="s">
        <v>167</v>
      </c>
      <c r="C472" s="26"/>
      <c r="D472" s="26" t="s">
        <v>58</v>
      </c>
      <c r="E472" s="27">
        <f>IF(E471=0, "",
  LOOKUP(E470/E471,
    {0,0.2000001,0.3500001,0.5000001,0.7000001,0.8,0.8000001},
    {1,2,5,7,7,7.5,8}
  )
)</f>
        <v>1</v>
      </c>
      <c r="F472" s="27">
        <f>IF(F471=0, "",
  LOOKUP(F470/F471,
    {0,0.2000001,0.3500001,0.5000001,0.7000001,0.8,0.8000001},
    {1,2,5,7,7,7.5,8}
  )
)</f>
        <v>5</v>
      </c>
      <c r="G472" s="27">
        <f>IF(G471=0, "",
  LOOKUP(G470/G471,
    {0,0.2000001,0.3500001,0.5000001,0.7000001,0.8,0.8000001},
    {1,2,5,7,7,7.5,8}
  )
)</f>
        <v>1</v>
      </c>
      <c r="H472" s="27">
        <f>IF(H471=0, "",
  LOOKUP(H470/H471,
    {0,0.2000001,0.3500001,0.5000001,0.7000001,0.8,0.8000001},
    {1,2,5,7,7,7.5,8}
  )
)</f>
        <v>1</v>
      </c>
      <c r="I472" s="27">
        <f>IF(I471=0, "",
  LOOKUP(I470/I471,
    {0,0.2000001,0.3500001,0.5000001,0.7000001,0.8,0.8000001},
    {1,2,5,7,7,7.5,8}
  )
)</f>
        <v>1</v>
      </c>
      <c r="J472" s="27">
        <f>IF(J471=0, "",
  LOOKUP(J470/J471,
    {0,0.2000001,0.3500001,0.5000001,0.7000001,0.8,0.8000001},
    {1,2,5,7,7,7.5,8}
  )
)</f>
        <v>1</v>
      </c>
      <c r="K472" s="27">
        <f>IF(K471=0, "",
  LOOKUP(K470/K471,
    {0,0.2000001,0.3500001,0.5000001,0.7000001,0.8,0.8000001},
    {1,2,5,7,7,7.5,8}
  )
)</f>
        <v>1</v>
      </c>
      <c r="L472" s="27">
        <f>IF(L471=0, "",
  LOOKUP(L470/L471,
    {0,0.2000001,0.3500001,0.5000001,0.7000001,0.8,0.8000001},
    {1,2,5,7,7,7.5,8}
  )
)</f>
        <v>1</v>
      </c>
      <c r="M472" s="27"/>
      <c r="N472" s="27">
        <f>AVERAGE(E472:L472)</f>
        <v>1.5</v>
      </c>
      <c r="O472" s="34" t="s">
        <v>247</v>
      </c>
    </row>
    <row r="473" spans="1:15" ht="15" thickBot="1" x14ac:dyDescent="0.4"/>
    <row r="474" spans="1:15" ht="15" thickBot="1" x14ac:dyDescent="0.4">
      <c r="A474" s="17">
        <v>45889</v>
      </c>
      <c r="B474" s="14" t="s">
        <v>227</v>
      </c>
      <c r="C474" s="18"/>
      <c r="D474" s="30" t="s">
        <v>62</v>
      </c>
      <c r="E474" s="19">
        <f>1+0.6</f>
        <v>1.6</v>
      </c>
      <c r="F474" s="19">
        <v>1.5</v>
      </c>
      <c r="G474" s="19">
        <v>1</v>
      </c>
      <c r="H474" s="19">
        <f>0.8+0.7+0.5+0.7</f>
        <v>2.7</v>
      </c>
      <c r="I474" s="19">
        <f>0.7+0.5+0.6+0.7</f>
        <v>2.5</v>
      </c>
      <c r="J474" s="19">
        <f>0.7+0.8+0.6+1</f>
        <v>3.1</v>
      </c>
      <c r="K474" s="19">
        <f>0.8+0.7+0.8</f>
        <v>2.2999999999999998</v>
      </c>
      <c r="L474" s="19">
        <f>0.3+0.7+0.8</f>
        <v>1.8</v>
      </c>
      <c r="M474" s="19"/>
      <c r="N474" s="18"/>
      <c r="O474" s="18"/>
    </row>
    <row r="475" spans="1:15" ht="15" thickBot="1" x14ac:dyDescent="0.4">
      <c r="A475" s="17">
        <v>45889</v>
      </c>
      <c r="B475" s="14" t="s">
        <v>227</v>
      </c>
      <c r="C475" s="22"/>
      <c r="D475" s="22" t="s">
        <v>57</v>
      </c>
      <c r="E475" s="23">
        <v>2</v>
      </c>
      <c r="F475" s="23">
        <v>2</v>
      </c>
      <c r="G475" s="23">
        <v>1</v>
      </c>
      <c r="H475" s="23">
        <v>4</v>
      </c>
      <c r="I475" s="23">
        <v>4</v>
      </c>
      <c r="J475" s="23">
        <v>4</v>
      </c>
      <c r="K475" s="23">
        <v>3</v>
      </c>
      <c r="L475" s="23">
        <v>3</v>
      </c>
      <c r="M475" s="23"/>
      <c r="N475" s="22"/>
      <c r="O475" s="22"/>
    </row>
    <row r="476" spans="1:15" ht="15" thickBot="1" x14ac:dyDescent="0.4">
      <c r="A476" s="17">
        <v>45889</v>
      </c>
      <c r="B476" s="14" t="s">
        <v>227</v>
      </c>
      <c r="C476" s="26"/>
      <c r="D476" s="26" t="s">
        <v>58</v>
      </c>
      <c r="E476" s="27">
        <f>IF(E475=0, "",
  LOOKUP(E474/E475,
    {0,0.2000001,0.3500001,0.5000001,0.7000001,0.8,0.8000001},
    {1,2,5,7,7,7.5,8}
  )
)</f>
        <v>7.5</v>
      </c>
      <c r="F476" s="27">
        <f>IF(F475=0, "",
  LOOKUP(F474/F475,
    {0,0.2000001,0.3500001,0.5000001,0.7000001,0.8,0.8000001},
    {1,2,5,7,7,7.5,8}
  )
)</f>
        <v>7</v>
      </c>
      <c r="G476" s="27">
        <f>IF(G475=0, "",
  LOOKUP(G474/G475,
    {0,0.2000001,0.3500001,0.5000001,0.7000001,0.8,0.8000001},
    {1,2,5,7,7,7.5,8}
  )
)</f>
        <v>8</v>
      </c>
      <c r="H476" s="27">
        <f>IF(H475=0, "",
  LOOKUP(H474/H475,
    {0,0.2000001,0.3500001,0.5000001,0.7000001,0.8,0.8000001},
    {1,2,5,7,7,7.5,8}
  )
)</f>
        <v>7</v>
      </c>
      <c r="I476" s="27">
        <f>IF(I475=0, "",
  LOOKUP(I474/I475,
    {0,0.2000001,0.3500001,0.5000001,0.7000001,0.8,0.8000001},
    {1,2,5,7,7,7.5,8}
  )
)</f>
        <v>7</v>
      </c>
      <c r="J476" s="27">
        <f>IF(J475=0, "",
  LOOKUP(J474/J475,
    {0,0.2000001,0.3500001,0.5000001,0.7000001,0.8,0.8000001},
    {1,2,5,7,7,7.5,8}
  )
)</f>
        <v>7</v>
      </c>
      <c r="K476" s="27">
        <f>IF(K475=0, "",
  LOOKUP(K474/K475,
    {0,0.2000001,0.3500001,0.5000001,0.7000001,0.8,0.8000001},
    {1,2,5,7,7,7.5,8}
  )
)</f>
        <v>7</v>
      </c>
      <c r="L476" s="27">
        <f>IF(L475=0, "",
  LOOKUP(L474/L475,
    {0,0.2000001,0.3500001,0.5000001,0.7000001,0.8,0.8000001},
    {1,2,5,7,7,7.5,8}
  )
)</f>
        <v>7</v>
      </c>
      <c r="M476" s="27"/>
      <c r="N476" s="27">
        <f>AVERAGE(E476:L476)</f>
        <v>7.1875</v>
      </c>
      <c r="O476" s="34" t="s">
        <v>199</v>
      </c>
    </row>
    <row r="477" spans="1:15" ht="15" thickBot="1" x14ac:dyDescent="0.4"/>
    <row r="478" spans="1:15" ht="15" thickBot="1" x14ac:dyDescent="0.4">
      <c r="A478" s="17">
        <v>45889</v>
      </c>
      <c r="B478" s="14" t="s">
        <v>246</v>
      </c>
      <c r="C478" s="18"/>
      <c r="D478" s="30" t="s">
        <v>62</v>
      </c>
      <c r="E478" s="19">
        <f>0.4+0.4</f>
        <v>0.8</v>
      </c>
      <c r="F478" s="19">
        <v>1.5</v>
      </c>
      <c r="G478" s="19">
        <v>1</v>
      </c>
      <c r="H478" s="19">
        <f>0.8+0.2+0.2+0.2</f>
        <v>1.4</v>
      </c>
      <c r="I478" s="19">
        <f>0.5+0.5+0.6+0</f>
        <v>1.6</v>
      </c>
      <c r="J478" s="19">
        <f>0.4+0.7+0.1</f>
        <v>1.2000000000000002</v>
      </c>
      <c r="K478" s="19">
        <f>0.8+0.7+0.7</f>
        <v>2.2000000000000002</v>
      </c>
      <c r="L478" s="19">
        <f>0.3+0.6+0.8</f>
        <v>1.7</v>
      </c>
      <c r="M478" s="19"/>
      <c r="N478" s="18"/>
      <c r="O478" s="18"/>
    </row>
    <row r="479" spans="1:15" ht="15" thickBot="1" x14ac:dyDescent="0.4">
      <c r="A479" s="17">
        <v>45889</v>
      </c>
      <c r="B479" s="14" t="s">
        <v>246</v>
      </c>
      <c r="C479" s="22"/>
      <c r="D479" s="22" t="s">
        <v>57</v>
      </c>
      <c r="E479" s="23">
        <v>2</v>
      </c>
      <c r="F479" s="23">
        <v>2</v>
      </c>
      <c r="G479" s="23">
        <v>1</v>
      </c>
      <c r="H479" s="23">
        <v>4</v>
      </c>
      <c r="I479" s="23">
        <v>4</v>
      </c>
      <c r="J479" s="23">
        <v>3</v>
      </c>
      <c r="K479" s="23">
        <v>3</v>
      </c>
      <c r="L479" s="23">
        <v>3</v>
      </c>
      <c r="M479" s="23"/>
      <c r="N479" s="22"/>
      <c r="O479" s="22"/>
    </row>
    <row r="480" spans="1:15" ht="15" thickBot="1" x14ac:dyDescent="0.4">
      <c r="A480" s="17">
        <v>45889</v>
      </c>
      <c r="B480" s="14" t="s">
        <v>246</v>
      </c>
      <c r="C480" s="26"/>
      <c r="D480" s="26" t="s">
        <v>58</v>
      </c>
      <c r="E480" s="27">
        <f>IF(E479=0, "",
  LOOKUP(E478/E479,
    {0,0.2000001,0.3500001,0.5000001,0.7000001,0.8,0.8000001},
    {1,2,5,7,7,7.5,8}
  )
)</f>
        <v>5</v>
      </c>
      <c r="F480" s="27">
        <f>IF(F479=0, "",
  LOOKUP(F478/F479,
    {0,0.2000001,0.3500001,0.5000001,0.7000001,0.8,0.8000001},
    {1,2,5,7,7,7.5,8}
  )
)</f>
        <v>7</v>
      </c>
      <c r="G480" s="27">
        <f>IF(G479=0, "",
  LOOKUP(G478/G479,
    {0,0.2000001,0.3500001,0.5000001,0.7000001,0.8,0.8000001},
    {1,2,5,7,7,7.5,8}
  )
)</f>
        <v>8</v>
      </c>
      <c r="H480" s="27">
        <f>IF(H479=0, "",
  LOOKUP(H478/H479,
    {0,0.2000001,0.3500001,0.5000001,0.7000001,0.8,0.8000001},
    {1,2,5,7,7,7.5,8}
  )
)</f>
        <v>2</v>
      </c>
      <c r="I480" s="27">
        <f>IF(I479=0, "",
  LOOKUP(I478/I479,
    {0,0.2000001,0.3500001,0.5000001,0.7000001,0.8,0.8000001},
    {1,2,5,7,7,7.5,8}
  )
)</f>
        <v>5</v>
      </c>
      <c r="J480" s="27">
        <f>IF(J479=0, "",
  LOOKUP(J478/J479,
    {0,0.2000001,0.3500001,0.5000001,0.7000001,0.8,0.8000001},
    {1,2,5,7,7,7.5,8}
  )
)</f>
        <v>5</v>
      </c>
      <c r="K480" s="27">
        <f>IF(K479=0, "",
  LOOKUP(K478/K479,
    {0,0.2000001,0.3500001,0.5000001,0.7000001,0.8,0.8000001},
    {1,2,5,7,7,7.5,8}
  )
)</f>
        <v>7</v>
      </c>
      <c r="L480" s="27">
        <f>IF(L479=0, "",
  LOOKUP(L478/L479,
    {0,0.2000001,0.3500001,0.5000001,0.7000001,0.8,0.8000001},
    {1,2,5,7,7,7.5,8}
  )
)</f>
        <v>7</v>
      </c>
      <c r="M480" s="27"/>
      <c r="N480" s="27">
        <f>AVERAGE(E480:L480)</f>
        <v>5.75</v>
      </c>
      <c r="O480" s="34" t="s">
        <v>248</v>
      </c>
    </row>
    <row r="481" spans="1:15" ht="15" thickBot="1" x14ac:dyDescent="0.4"/>
    <row r="482" spans="1:15" ht="15" thickBot="1" x14ac:dyDescent="0.4">
      <c r="A482" s="17">
        <v>45901</v>
      </c>
      <c r="B482" s="14" t="s">
        <v>249</v>
      </c>
      <c r="C482" s="18"/>
      <c r="D482" s="30" t="s">
        <v>62</v>
      </c>
      <c r="E482" s="19">
        <f>0+0</f>
        <v>0</v>
      </c>
      <c r="F482" s="19">
        <v>1</v>
      </c>
      <c r="G482" s="19">
        <v>0</v>
      </c>
      <c r="H482" s="19">
        <f>0.5+0.6+0+0.2</f>
        <v>1.3</v>
      </c>
      <c r="I482" s="19">
        <f>0+0.2+0.2+0</f>
        <v>0.4</v>
      </c>
      <c r="J482" s="19">
        <f>0.2+0+0</f>
        <v>0.2</v>
      </c>
      <c r="K482" s="19">
        <f>0.3+0+0.7</f>
        <v>1</v>
      </c>
      <c r="L482" s="19">
        <f>0.2+0.5+0.8</f>
        <v>1.5</v>
      </c>
      <c r="M482" s="19"/>
      <c r="N482" s="18"/>
      <c r="O482" s="18"/>
    </row>
    <row r="483" spans="1:15" ht="15" thickBot="1" x14ac:dyDescent="0.4">
      <c r="A483" s="17">
        <v>45901</v>
      </c>
      <c r="B483" s="14" t="s">
        <v>249</v>
      </c>
      <c r="C483" s="22"/>
      <c r="D483" s="22" t="s">
        <v>57</v>
      </c>
      <c r="E483" s="23">
        <v>2</v>
      </c>
      <c r="F483" s="23">
        <v>2</v>
      </c>
      <c r="G483" s="23">
        <v>1</v>
      </c>
      <c r="H483" s="23">
        <v>4</v>
      </c>
      <c r="I483" s="23">
        <v>4</v>
      </c>
      <c r="J483" s="23">
        <v>3</v>
      </c>
      <c r="K483" s="23">
        <v>3</v>
      </c>
      <c r="L483" s="23">
        <v>3</v>
      </c>
      <c r="M483" s="23"/>
      <c r="N483" s="22"/>
      <c r="O483" s="22"/>
    </row>
    <row r="484" spans="1:15" ht="15" thickBot="1" x14ac:dyDescent="0.4">
      <c r="A484" s="17">
        <v>45901</v>
      </c>
      <c r="B484" s="14" t="s">
        <v>249</v>
      </c>
      <c r="C484" s="26"/>
      <c r="D484" s="26" t="s">
        <v>58</v>
      </c>
      <c r="E484" s="27">
        <f>IF(E483=0, "",
  LOOKUP(E482/E483,
    {0,0.2000001,0.3500001,0.5000001,0.7000001,0.8,0.8000001},
    {1,2,5,7,7,7.5,8}
  )
)</f>
        <v>1</v>
      </c>
      <c r="F484" s="27">
        <f>IF(F483=0, "",
  LOOKUP(F482/F483,
    {0,0.2000001,0.3500001,0.5000001,0.7000001,0.8,0.8000001},
    {1,2,5,7,7,7.5,8}
  )
)</f>
        <v>5</v>
      </c>
      <c r="G484" s="27">
        <f>IF(G483=0, "",
  LOOKUP(G482/G483,
    {0,0.2000001,0.3500001,0.5000001,0.7000001,0.8,0.8000001},
    {1,2,5,7,7,7.5,8}
  )
)</f>
        <v>1</v>
      </c>
      <c r="H484" s="27">
        <f>IF(H483=0, "",
  LOOKUP(H482/H483,
    {0,0.2000001,0.3500001,0.5000001,0.7000001,0.8,0.8000001},
    {1,2,5,7,7,7.5,8}
  )
)</f>
        <v>2</v>
      </c>
      <c r="I484" s="27">
        <f>IF(I483=0, "",
  LOOKUP(I482/I483,
    {0,0.2000001,0.3500001,0.5000001,0.7000001,0.8,0.8000001},
    {1,2,5,7,7,7.5,8}
  )
)</f>
        <v>1</v>
      </c>
      <c r="J484" s="27">
        <f>IF(J483=0, "",
  LOOKUP(J482/J483,
    {0,0.2000001,0.3500001,0.5000001,0.7000001,0.8,0.8000001},
    {1,2,5,7,7,7.5,8}
  )
)</f>
        <v>1</v>
      </c>
      <c r="K484" s="27">
        <f>IF(K483=0, "",
  LOOKUP(K482/K483,
    {0,0.2000001,0.3500001,0.5000001,0.7000001,0.8,0.8000001},
    {1,2,5,7,7,7.5,8}
  )
)</f>
        <v>2</v>
      </c>
      <c r="L484" s="27">
        <f>IF(L483=0, "",
  LOOKUP(L482/L483,
    {0,0.2000001,0.3500001,0.5000001,0.7000001,0.8,0.8000001},
    {1,2,5,7,7,7.5,8}
  )
)</f>
        <v>5</v>
      </c>
      <c r="M484" s="27"/>
      <c r="N484" s="27">
        <f>AVERAGE(E484:L484)</f>
        <v>2.25</v>
      </c>
      <c r="O484" s="34" t="s">
        <v>195</v>
      </c>
    </row>
    <row r="485" spans="1:15" ht="15" thickBot="1" x14ac:dyDescent="0.4"/>
    <row r="486" spans="1:15" ht="15" thickBot="1" x14ac:dyDescent="0.4">
      <c r="A486" s="17">
        <v>45902</v>
      </c>
      <c r="B486" s="14" t="s">
        <v>250</v>
      </c>
      <c r="C486" s="18"/>
      <c r="D486" s="30" t="s">
        <v>62</v>
      </c>
      <c r="E486" s="19">
        <f>0+0</f>
        <v>0</v>
      </c>
      <c r="F486" s="19">
        <v>1</v>
      </c>
      <c r="G486" s="19">
        <v>0</v>
      </c>
      <c r="H486" s="19">
        <f>0.4+0.7+0+0.5</f>
        <v>1.6</v>
      </c>
      <c r="I486" s="19">
        <f>0+0.4+0.6+0</f>
        <v>1</v>
      </c>
      <c r="J486" s="19">
        <f>0+0.7+0.5</f>
        <v>1.2</v>
      </c>
      <c r="K486" s="19">
        <f>0.7+0.4+0.4</f>
        <v>1.5</v>
      </c>
      <c r="L486" s="19">
        <f>0+0.5+0.5</f>
        <v>1</v>
      </c>
      <c r="M486" s="19"/>
      <c r="N486" s="18"/>
      <c r="O486" s="18"/>
    </row>
    <row r="487" spans="1:15" ht="15" thickBot="1" x14ac:dyDescent="0.4">
      <c r="A487" s="17">
        <v>45902</v>
      </c>
      <c r="B487" s="14" t="s">
        <v>250</v>
      </c>
      <c r="C487" s="22"/>
      <c r="D487" s="22" t="s">
        <v>57</v>
      </c>
      <c r="E487" s="23">
        <v>2</v>
      </c>
      <c r="F487" s="23">
        <v>2</v>
      </c>
      <c r="G487" s="23">
        <v>1</v>
      </c>
      <c r="H487" s="23">
        <v>4</v>
      </c>
      <c r="I487" s="23">
        <v>4</v>
      </c>
      <c r="J487" s="23">
        <v>3</v>
      </c>
      <c r="K487" s="23">
        <v>3</v>
      </c>
      <c r="L487" s="23">
        <v>3</v>
      </c>
      <c r="M487" s="23"/>
      <c r="N487" s="22"/>
      <c r="O487" s="22"/>
    </row>
    <row r="488" spans="1:15" ht="15" thickBot="1" x14ac:dyDescent="0.4">
      <c r="A488" s="17">
        <v>45902</v>
      </c>
      <c r="B488" s="14" t="s">
        <v>250</v>
      </c>
      <c r="C488" s="26"/>
      <c r="D488" s="26" t="s">
        <v>58</v>
      </c>
      <c r="E488" s="27">
        <f>IF(E487=0, "",
  LOOKUP(E486/E487,
    {0,0.2000001,0.3500001,0.5000001,0.7000001,0.8,0.8000001},
    {1,2,5,7,7,7.5,8}
  )
)</f>
        <v>1</v>
      </c>
      <c r="F488" s="27">
        <f>IF(F487=0, "",
  LOOKUP(F486/F487,
    {0,0.2000001,0.3500001,0.5000001,0.7000001,0.8,0.8000001},
    {1,2,5,7,7,7.5,8}
  )
)</f>
        <v>5</v>
      </c>
      <c r="G488" s="27">
        <f>IF(G487=0, "",
  LOOKUP(G486/G487,
    {0,0.2000001,0.3500001,0.5000001,0.7000001,0.8,0.8000001},
    {1,2,5,7,7,7.5,8}
  )
)</f>
        <v>1</v>
      </c>
      <c r="H488" s="27">
        <f>IF(H487=0, "",
  LOOKUP(H486/H487,
    {0,0.2000001,0.3500001,0.5000001,0.7000001,0.8,0.8000001},
    {1,2,5,7,7,7.5,8}
  )
)</f>
        <v>5</v>
      </c>
      <c r="I488" s="27">
        <f>IF(I487=0, "",
  LOOKUP(I486/I487,
    {0,0.2000001,0.3500001,0.5000001,0.7000001,0.8,0.8000001},
    {1,2,5,7,7,7.5,8}
  )
)</f>
        <v>2</v>
      </c>
      <c r="J488" s="27">
        <f>IF(J487=0, "",
  LOOKUP(J486/J487,
    {0,0.2000001,0.3500001,0.5000001,0.7000001,0.8,0.8000001},
    {1,2,5,7,7,7.5,8}
  )
)</f>
        <v>5</v>
      </c>
      <c r="K488" s="27">
        <f>IF(K487=0, "",
  LOOKUP(K486/K487,
    {0,0.2000001,0.3500001,0.5000001,0.7000001,0.8,0.8000001},
    {1,2,5,7,7,7.5,8}
  )
)</f>
        <v>5</v>
      </c>
      <c r="L488" s="27">
        <f>IF(L487=0, "",
  LOOKUP(L486/L487,
    {0,0.2000001,0.3500001,0.5000001,0.7000001,0.8,0.8000001},
    {1,2,5,7,7,7.5,8}
  )
)</f>
        <v>2</v>
      </c>
      <c r="M488" s="27"/>
      <c r="N488" s="27">
        <f>AVERAGE(E488:L488)</f>
        <v>3.25</v>
      </c>
      <c r="O488" s="34" t="s">
        <v>251</v>
      </c>
    </row>
    <row r="489" spans="1:15" ht="15" thickBot="1" x14ac:dyDescent="0.4"/>
    <row r="490" spans="1:15" ht="15" thickBot="1" x14ac:dyDescent="0.4">
      <c r="A490" s="17">
        <v>45903</v>
      </c>
      <c r="B490" s="18" t="s">
        <v>252</v>
      </c>
      <c r="C490" s="18"/>
      <c r="D490" s="30" t="s">
        <v>62</v>
      </c>
      <c r="E490" s="19">
        <f>0.9+0.4</f>
        <v>1.3</v>
      </c>
      <c r="F490" s="19">
        <v>1</v>
      </c>
      <c r="G490" s="19">
        <v>0</v>
      </c>
      <c r="H490" s="19">
        <f>0.5+0.7+0+0.5</f>
        <v>1.7</v>
      </c>
      <c r="I490" s="19">
        <f>0+1+0.6+0.3</f>
        <v>1.9000000000000001</v>
      </c>
      <c r="J490" s="19">
        <f>1+0.9+0.7</f>
        <v>2.5999999999999996</v>
      </c>
      <c r="K490" s="19">
        <f>0+0.7+0.8</f>
        <v>1.5</v>
      </c>
      <c r="L490" s="19">
        <f>0.4+1+0.6</f>
        <v>2</v>
      </c>
      <c r="M490" s="19"/>
      <c r="N490" s="18"/>
      <c r="O490" s="20"/>
    </row>
    <row r="491" spans="1:15" ht="15" thickBot="1" x14ac:dyDescent="0.4">
      <c r="A491" s="17">
        <v>45903</v>
      </c>
      <c r="B491" s="18" t="s">
        <v>252</v>
      </c>
      <c r="C491" s="22"/>
      <c r="D491" s="22" t="s">
        <v>57</v>
      </c>
      <c r="E491" s="23">
        <v>2</v>
      </c>
      <c r="F491" s="23">
        <v>2</v>
      </c>
      <c r="G491" s="23">
        <v>1</v>
      </c>
      <c r="H491" s="23">
        <v>4</v>
      </c>
      <c r="I491" s="23">
        <v>4</v>
      </c>
      <c r="J491" s="23">
        <v>3</v>
      </c>
      <c r="K491" s="23">
        <v>3</v>
      </c>
      <c r="L491" s="23">
        <v>3</v>
      </c>
      <c r="M491" s="23"/>
      <c r="N491" s="22"/>
      <c r="O491" s="24"/>
    </row>
    <row r="492" spans="1:15" ht="15" thickBot="1" x14ac:dyDescent="0.4">
      <c r="A492" s="17">
        <v>45903</v>
      </c>
      <c r="B492" s="18" t="s">
        <v>252</v>
      </c>
      <c r="C492" s="26"/>
      <c r="D492" s="26" t="s">
        <v>58</v>
      </c>
      <c r="E492" s="27">
        <f>IF(E491=0, "",
  LOOKUP(E490/E491,
    {0,0.2000001,0.3500001,0.5000001,0.7000001,0.8,0.8000001},
    {1,2,5,7,7,7.5,8}
  )
)</f>
        <v>7</v>
      </c>
      <c r="F492" s="27">
        <f>IF(F491=0, "",
  LOOKUP(F490/F491,
    {0,0.2000001,0.3500001,0.5000001,0.7000001,0.8,0.8000001},
    {1,2,5,7,7,7.5,8}
  )
)</f>
        <v>5</v>
      </c>
      <c r="G492" s="27">
        <f>IF(G491=0, "",
  LOOKUP(G490/G491,
    {0,0.2000001,0.3500001,0.5000001,0.7000001,0.8,0.8000001},
    {1,2,5,7,7,7.5,8}
  )
)</f>
        <v>1</v>
      </c>
      <c r="H492" s="27">
        <f>IF(H491=0, "",
  LOOKUP(H490/H491,
    {0,0.2000001,0.3500001,0.5000001,0.7000001,0.8,0.8000001},
    {1,2,5,7,7,7.5,8}
  )
)</f>
        <v>5</v>
      </c>
      <c r="I492" s="27">
        <f>IF(I491=0, "",
  LOOKUP(I490/I491,
    {0,0.2000001,0.3500001,0.5000001,0.7000001,0.8,0.8000001},
    {1,2,5,7,7,7.5,8}
  )
)</f>
        <v>5</v>
      </c>
      <c r="J492" s="27">
        <f>IF(J491=0, "",
  LOOKUP(J490/J491,
    {0,0.2000001,0.3500001,0.5000001,0.7000001,0.8,0.8000001},
    {1,2,5,7,7,7.5,8}
  )
)</f>
        <v>8</v>
      </c>
      <c r="K492" s="27">
        <f>IF(K491=0, "",
  LOOKUP(K490/K491,
    {0,0.2000001,0.3500001,0.5000001,0.7000001,0.8,0.8000001},
    {1,2,5,7,7,7.5,8}
  )
)</f>
        <v>5</v>
      </c>
      <c r="L492" s="27">
        <f>IF(L491=0, "",
  LOOKUP(L490/L491,
    {0,0.2000001,0.3500001,0.5000001,0.7000001,0.8,0.8000001},
    {1,2,5,7,7,7.5,8}
  )
)</f>
        <v>7</v>
      </c>
      <c r="M492" s="27"/>
      <c r="N492" s="27">
        <f>AVERAGE(E492:L492)</f>
        <v>5.375</v>
      </c>
      <c r="O492" s="34" t="s">
        <v>253</v>
      </c>
    </row>
    <row r="493" spans="1:15" ht="15" thickBot="1" x14ac:dyDescent="0.4"/>
    <row r="494" spans="1:15" ht="15" thickBot="1" x14ac:dyDescent="0.4">
      <c r="A494" s="17">
        <v>45903</v>
      </c>
      <c r="B494" s="14" t="s">
        <v>246</v>
      </c>
      <c r="C494" s="18"/>
      <c r="D494" s="30" t="s">
        <v>62</v>
      </c>
      <c r="E494" s="19">
        <f>0.8+0.5</f>
        <v>1.3</v>
      </c>
      <c r="F494" s="19">
        <v>1</v>
      </c>
      <c r="G494" s="19">
        <v>0</v>
      </c>
      <c r="H494" s="19">
        <f>0.8+0.6+0.7+0.8</f>
        <v>2.8999999999999995</v>
      </c>
      <c r="I494" s="19">
        <f>0.5+0.5+0.6+0.6</f>
        <v>2.2000000000000002</v>
      </c>
      <c r="J494" s="19">
        <f>0.6+0.7+0.1</f>
        <v>1.4</v>
      </c>
      <c r="K494" s="19">
        <f>0.8+0.7+0.9</f>
        <v>2.4</v>
      </c>
      <c r="L494" s="19">
        <f>0.3+0.6+0.4</f>
        <v>1.2999999999999998</v>
      </c>
      <c r="M494" s="19"/>
      <c r="N494" s="18"/>
      <c r="O494" s="18"/>
    </row>
    <row r="495" spans="1:15" ht="15" thickBot="1" x14ac:dyDescent="0.4">
      <c r="A495" s="17">
        <v>45903</v>
      </c>
      <c r="B495" s="14" t="s">
        <v>246</v>
      </c>
      <c r="C495" s="22"/>
      <c r="D495" s="22" t="s">
        <v>57</v>
      </c>
      <c r="E495" s="23">
        <v>2</v>
      </c>
      <c r="F495" s="23">
        <v>2</v>
      </c>
      <c r="G495" s="23">
        <v>1</v>
      </c>
      <c r="H495" s="23">
        <v>4</v>
      </c>
      <c r="I495" s="23">
        <v>4</v>
      </c>
      <c r="J495" s="23">
        <v>3</v>
      </c>
      <c r="K495" s="23">
        <v>3</v>
      </c>
      <c r="L495" s="23">
        <v>3</v>
      </c>
      <c r="M495" s="23"/>
      <c r="N495" s="22"/>
      <c r="O495" s="22"/>
    </row>
    <row r="496" spans="1:15" ht="15" thickBot="1" x14ac:dyDescent="0.4">
      <c r="A496" s="17">
        <v>45903</v>
      </c>
      <c r="B496" s="14" t="s">
        <v>246</v>
      </c>
      <c r="C496" s="26"/>
      <c r="D496" s="26" t="s">
        <v>58</v>
      </c>
      <c r="E496" s="27">
        <f>IF(E495=0, "",
  LOOKUP(E494/E495,
    {0,0.2000001,0.3500001,0.5000001,0.7000001,0.8,0.8000001},
    {1,2,5,7,7,7.5,8}
  )
)</f>
        <v>7</v>
      </c>
      <c r="F496" s="27">
        <f>IF(F495=0, "",
  LOOKUP(F494/F495,
    {0,0.2000001,0.3500001,0.5000001,0.7000001,0.8,0.8000001},
    {1,2,5,7,7,7.5,8}
  )
)</f>
        <v>5</v>
      </c>
      <c r="G496" s="27">
        <f>IF(G495=0, "",
  LOOKUP(G494/G495,
    {0,0.2000001,0.3500001,0.5000001,0.7000001,0.8,0.8000001},
    {1,2,5,7,7,7.5,8}
  )
)</f>
        <v>1</v>
      </c>
      <c r="H496" s="27">
        <f>IF(H495=0, "",
  LOOKUP(H494/H495,
    {0,0.2000001,0.3500001,0.5000001,0.7000001,0.8,0.8000001},
    {1,2,5,7,7,7.5,8}
  )
)</f>
        <v>7</v>
      </c>
      <c r="I496" s="27">
        <f>IF(I495=0, "",
  LOOKUP(I494/I495,
    {0,0.2000001,0.3500001,0.5000001,0.7000001,0.8,0.8000001},
    {1,2,5,7,7,7.5,8}
  )
)</f>
        <v>7</v>
      </c>
      <c r="J496" s="27">
        <f>IF(J495=0, "",
  LOOKUP(J494/J495,
    {0,0.2000001,0.3500001,0.5000001,0.7000001,0.8,0.8000001},
    {1,2,5,7,7,7.5,8}
  )
)</f>
        <v>5</v>
      </c>
      <c r="K496" s="27">
        <f>IF(K495=0, "",
  LOOKUP(K494/K495,
    {0,0.2000001,0.3500001,0.5000001,0.7000001,0.8,0.8000001},
    {1,2,5,7,7,7.5,8}
  )
)</f>
        <v>7</v>
      </c>
      <c r="L496" s="27">
        <f>IF(L495=0, "",
  LOOKUP(L494/L495,
    {0,0.2000001,0.3500001,0.5000001,0.7000001,0.8,0.8000001},
    {1,2,5,7,7,7.5,8}
  )
)</f>
        <v>5</v>
      </c>
      <c r="M496" s="27"/>
      <c r="N496" s="27">
        <f>AVERAGE(E496:L496)</f>
        <v>5.5</v>
      </c>
      <c r="O496" s="34" t="s">
        <v>254</v>
      </c>
    </row>
    <row r="497" spans="1:15" ht="15" thickBot="1" x14ac:dyDescent="0.4"/>
    <row r="498" spans="1:15" ht="15" thickBot="1" x14ac:dyDescent="0.4">
      <c r="A498" s="17">
        <v>45883</v>
      </c>
      <c r="B498" s="42" t="s">
        <v>240</v>
      </c>
      <c r="C498" s="18"/>
      <c r="D498" s="30" t="s">
        <v>62</v>
      </c>
      <c r="E498" s="19">
        <f>1+0.3</f>
        <v>1.3</v>
      </c>
      <c r="F498" s="19">
        <v>1</v>
      </c>
      <c r="G498" s="19">
        <v>1</v>
      </c>
      <c r="H498" s="19">
        <f>0.8+0.2+0.8+0.4</f>
        <v>2.2000000000000002</v>
      </c>
      <c r="I498" s="19">
        <f>0.8+0.3+0.5+0.6</f>
        <v>2.2000000000000002</v>
      </c>
      <c r="J498" s="19">
        <f>0.8+0.7+0.8</f>
        <v>2.2999999999999998</v>
      </c>
      <c r="K498" s="19">
        <f>0.7+0.4+0.8</f>
        <v>1.9000000000000001</v>
      </c>
      <c r="L498" s="19">
        <f>0.4+0.7+0.3</f>
        <v>1.4000000000000001</v>
      </c>
      <c r="M498" s="19"/>
      <c r="N498" s="18"/>
      <c r="O498" s="18"/>
    </row>
    <row r="499" spans="1:15" ht="15" thickBot="1" x14ac:dyDescent="0.4">
      <c r="A499" s="17">
        <v>45883</v>
      </c>
      <c r="B499" s="42" t="s">
        <v>240</v>
      </c>
      <c r="C499" s="22"/>
      <c r="D499" s="22" t="s">
        <v>57</v>
      </c>
      <c r="E499" s="23">
        <v>2</v>
      </c>
      <c r="F499" s="23">
        <v>2</v>
      </c>
      <c r="G499" s="23">
        <v>1</v>
      </c>
      <c r="H499" s="23">
        <v>4</v>
      </c>
      <c r="I499" s="23">
        <v>4</v>
      </c>
      <c r="J499" s="23">
        <v>3</v>
      </c>
      <c r="K499" s="23">
        <v>3</v>
      </c>
      <c r="L499" s="23">
        <v>3</v>
      </c>
      <c r="M499" s="23"/>
      <c r="N499" s="22"/>
      <c r="O499" s="22"/>
    </row>
    <row r="500" spans="1:15" ht="15" thickBot="1" x14ac:dyDescent="0.4">
      <c r="A500" s="17">
        <v>45883</v>
      </c>
      <c r="B500" s="42" t="s">
        <v>240</v>
      </c>
      <c r="C500" s="26"/>
      <c r="D500" s="26" t="s">
        <v>58</v>
      </c>
      <c r="E500" s="27">
        <f>IF(E499=0, "",
  LOOKUP(E498/E499,
    {0,0.2000001,0.3500001,0.5000001,0.7000001,0.8,0.8000001},
    {1,2,5,7,7,7.5,8}
  )
)</f>
        <v>7</v>
      </c>
      <c r="F500" s="27">
        <f>IF(F499=0, "",
  LOOKUP(F498/F499,
    {0,0.2000001,0.3500001,0.5000001,0.7000001,0.8,0.8000001},
    {1,2,5,7,7,7.5,8}
  )
)</f>
        <v>5</v>
      </c>
      <c r="G500" s="27">
        <f>IF(G499=0, "",
  LOOKUP(G498/G499,
    {0,0.2000001,0.3500001,0.5000001,0.7000001,0.8,0.8000001},
    {1,2,5,7,7,7.5,8}
  )
)</f>
        <v>8</v>
      </c>
      <c r="H500" s="27">
        <f>IF(H499=0, "",
  LOOKUP(H498/H499,
    {0,0.2000001,0.3500001,0.5000001,0.7000001,0.8,0.8000001},
    {1,2,5,7,7,7.5,8}
  )
)</f>
        <v>7</v>
      </c>
      <c r="I500" s="27">
        <f>IF(I499=0, "",
  LOOKUP(I498/I499,
    {0,0.2000001,0.3500001,0.5000001,0.7000001,0.8,0.8000001},
    {1,2,5,7,7,7.5,8}
  )
)</f>
        <v>7</v>
      </c>
      <c r="J500" s="27">
        <f>IF(J499=0, "",
  LOOKUP(J498/J499,
    {0,0.2000001,0.3500001,0.5000001,0.7000001,0.8,0.8000001},
    {1,2,5,7,7,7.5,8}
  )
)</f>
        <v>7</v>
      </c>
      <c r="K500" s="27">
        <f>IF(K499=0, "",
  LOOKUP(K498/K499,
    {0,0.2000001,0.3500001,0.5000001,0.7000001,0.8,0.8000001},
    {1,2,5,7,7,7.5,8}
  )
)</f>
        <v>7</v>
      </c>
      <c r="L500" s="27">
        <f>IF(L499=0, "",
  LOOKUP(L498/L499,
    {0,0.2000001,0.3500001,0.5000001,0.7000001,0.8,0.8000001},
    {1,2,5,7,7,7.5,8}
  )
)</f>
        <v>5</v>
      </c>
      <c r="M500" s="27"/>
      <c r="N500" s="27">
        <f>AVERAGE(E500:L500)</f>
        <v>6.625</v>
      </c>
      <c r="O500" s="34" t="s">
        <v>255</v>
      </c>
    </row>
    <row r="501" spans="1:15" ht="15" thickBot="1" x14ac:dyDescent="0.4"/>
    <row r="502" spans="1:15" ht="15" thickBot="1" x14ac:dyDescent="0.4">
      <c r="A502" s="17">
        <v>45883</v>
      </c>
      <c r="B502" s="18" t="s">
        <v>252</v>
      </c>
      <c r="C502" s="18"/>
      <c r="D502" s="30" t="s">
        <v>62</v>
      </c>
      <c r="E502" s="19">
        <f>0.2+0.4</f>
        <v>0.60000000000000009</v>
      </c>
      <c r="F502" s="19">
        <v>1</v>
      </c>
      <c r="G502" s="19">
        <v>0</v>
      </c>
      <c r="H502" s="19">
        <f>0.8+0.6+0.4+0</f>
        <v>1.7999999999999998</v>
      </c>
      <c r="I502" s="19">
        <f>0.4+0+0.5+0.3</f>
        <v>1.2</v>
      </c>
      <c r="J502" s="19">
        <f>0.7+0.7+0.6</f>
        <v>2</v>
      </c>
      <c r="K502" s="19">
        <f>0.4+0.7+0.6</f>
        <v>1.7000000000000002</v>
      </c>
      <c r="L502" s="19">
        <f>0.2+0+0</f>
        <v>0.2</v>
      </c>
      <c r="M502" s="19"/>
      <c r="N502" s="18"/>
      <c r="O502" s="20"/>
    </row>
    <row r="503" spans="1:15" ht="15" thickBot="1" x14ac:dyDescent="0.4">
      <c r="A503" s="17">
        <v>45883</v>
      </c>
      <c r="B503" s="18" t="s">
        <v>252</v>
      </c>
      <c r="C503" s="22"/>
      <c r="D503" s="22" t="s">
        <v>57</v>
      </c>
      <c r="E503" s="23">
        <v>2</v>
      </c>
      <c r="F503" s="23">
        <v>2</v>
      </c>
      <c r="G503" s="23">
        <v>1</v>
      </c>
      <c r="H503" s="23">
        <v>4</v>
      </c>
      <c r="I503" s="23">
        <v>4</v>
      </c>
      <c r="J503" s="23">
        <v>3</v>
      </c>
      <c r="K503" s="23">
        <v>3</v>
      </c>
      <c r="L503" s="23">
        <v>3</v>
      </c>
      <c r="M503" s="23"/>
      <c r="N503" s="22"/>
      <c r="O503" s="24"/>
    </row>
    <row r="504" spans="1:15" ht="15" thickBot="1" x14ac:dyDescent="0.4">
      <c r="A504" s="17">
        <v>45883</v>
      </c>
      <c r="B504" s="18" t="s">
        <v>252</v>
      </c>
      <c r="C504" s="26"/>
      <c r="D504" s="26" t="s">
        <v>58</v>
      </c>
      <c r="E504" s="27">
        <f>IF(E503=0, "",
  LOOKUP(E502/E503,
    {0,0.2000001,0.3500001,0.5000001,0.7000001,0.8,0.8000001},
    {1,2,5,7,7,7.5,8}
  )
)</f>
        <v>2</v>
      </c>
      <c r="F504" s="27">
        <f>IF(F503=0, "",
  LOOKUP(F502/F503,
    {0,0.2000001,0.3500001,0.5000001,0.7000001,0.8,0.8000001},
    {1,2,5,7,7,7.5,8}
  )
)</f>
        <v>5</v>
      </c>
      <c r="G504" s="27">
        <f>IF(G503=0, "",
  LOOKUP(G502/G503,
    {0,0.2000001,0.3500001,0.5000001,0.7000001,0.8,0.8000001},
    {1,2,5,7,7,7.5,8}
  )
)</f>
        <v>1</v>
      </c>
      <c r="H504" s="27">
        <f>IF(H503=0, "",
  LOOKUP(H502/H503,
    {0,0.2000001,0.3500001,0.5000001,0.7000001,0.8,0.8000001},
    {1,2,5,7,7,7.5,8}
  )
)</f>
        <v>5</v>
      </c>
      <c r="I504" s="27">
        <f>IF(I503=0, "",
  LOOKUP(I502/I503,
    {0,0.2000001,0.3500001,0.5000001,0.7000001,0.8,0.8000001},
    {1,2,5,7,7,7.5,8}
  )
)</f>
        <v>2</v>
      </c>
      <c r="J504" s="27">
        <f>IF(J503=0, "",
  LOOKUP(J502/J503,
    {0,0.2000001,0.3500001,0.5000001,0.7000001,0.8,0.8000001},
    {1,2,5,7,7,7.5,8}
  )
)</f>
        <v>7</v>
      </c>
      <c r="K504" s="27">
        <f>IF(K503=0, "",
  LOOKUP(K502/K503,
    {0,0.2000001,0.3500001,0.5000001,0.7000001,0.8,0.8000001},
    {1,2,5,7,7,7.5,8}
  )
)</f>
        <v>7</v>
      </c>
      <c r="L504" s="27">
        <f>IF(L503=0, "",
  LOOKUP(L502/L503,
    {0,0.2000001,0.3500001,0.5000001,0.7000001,0.8,0.8000001},
    {1,2,5,7,7,7.5,8}
  )
)</f>
        <v>1</v>
      </c>
      <c r="M504" s="27"/>
      <c r="N504" s="27">
        <f>AVERAGE(E504:L504)</f>
        <v>3.75</v>
      </c>
      <c r="O504" s="34" t="s">
        <v>256</v>
      </c>
    </row>
    <row r="505" spans="1:15" ht="15" thickBot="1" x14ac:dyDescent="0.4"/>
    <row r="506" spans="1:15" s="18" customFormat="1" ht="15" thickBot="1" x14ac:dyDescent="0.4">
      <c r="A506" s="17">
        <v>45916</v>
      </c>
      <c r="B506" s="14" t="s">
        <v>206</v>
      </c>
      <c r="D506" s="30" t="s">
        <v>62</v>
      </c>
      <c r="E506" s="32">
        <f>1+0+0</f>
        <v>1</v>
      </c>
      <c r="F506" s="19">
        <v>0.5</v>
      </c>
      <c r="G506" s="19">
        <v>0</v>
      </c>
      <c r="H506" s="19">
        <f>0.4+0.5+0+0</f>
        <v>0.9</v>
      </c>
      <c r="I506" s="19">
        <f>0+0+0+0</f>
        <v>0</v>
      </c>
      <c r="J506" s="19">
        <f>1+0.6+0.6</f>
        <v>2.2000000000000002</v>
      </c>
      <c r="K506" s="19">
        <f>0+0+0.3</f>
        <v>0.3</v>
      </c>
      <c r="L506" s="19">
        <f>0+0.4+0.2</f>
        <v>0.60000000000000009</v>
      </c>
      <c r="M506" s="19"/>
    </row>
    <row r="507" spans="1:15" s="22" customFormat="1" ht="15" thickBot="1" x14ac:dyDescent="0.4">
      <c r="A507" s="17">
        <v>45916</v>
      </c>
      <c r="B507" s="14" t="s">
        <v>206</v>
      </c>
      <c r="D507" s="22" t="s">
        <v>57</v>
      </c>
      <c r="E507" s="23">
        <v>3</v>
      </c>
      <c r="F507" s="23">
        <v>2</v>
      </c>
      <c r="G507" s="23">
        <v>1</v>
      </c>
      <c r="H507" s="23">
        <v>4</v>
      </c>
      <c r="I507" s="23">
        <v>4</v>
      </c>
      <c r="J507" s="23">
        <v>3</v>
      </c>
      <c r="K507" s="23">
        <v>3</v>
      </c>
      <c r="L507" s="23">
        <v>3</v>
      </c>
      <c r="M507" s="23"/>
    </row>
    <row r="508" spans="1:15" s="26" customFormat="1" ht="15" thickBot="1" x14ac:dyDescent="0.4">
      <c r="A508" s="17">
        <v>45916</v>
      </c>
      <c r="B508" s="14" t="s">
        <v>206</v>
      </c>
      <c r="D508" s="26" t="s">
        <v>58</v>
      </c>
      <c r="E508" s="27">
        <f>IF(E507=0, "",
  LOOKUP(E506/E507,
    {0,0.2000001,0.3500001,0.5000001,0.7000001,0.8,0.8000001},
    {1,2,5,7,7,7.5,8}
  )
)</f>
        <v>2</v>
      </c>
      <c r="F508" s="27">
        <f>IF(F507=0, "",
  LOOKUP(F506/F507,
    {0,0.2000001,0.3500001,0.5000001,0.7000001,0.8,0.8000001},
    {1,2,5,7,7,7.5,8}
  )
)</f>
        <v>2</v>
      </c>
      <c r="G508" s="27">
        <f>IF(G507=0, "",
  LOOKUP(G506/G507,
    {0,0.2000001,0.3500001,0.5000001,0.7000001,0.8,0.8000001},
    {1,2,5,7,7,7.5,8}
  )
)</f>
        <v>1</v>
      </c>
      <c r="H508" s="27">
        <f>IF(H507=0, "",
  LOOKUP(H506/H507,
    {0,0.2000001,0.3500001,0.5000001,0.7000001,0.8,0.8000001},
    {1,2,5,7,7,7.5,8}
  )
)</f>
        <v>2</v>
      </c>
      <c r="I508" s="27">
        <f>IF(I507=0, "",
  LOOKUP(I506/I507,
    {0,0.2000001,0.3500001,0.5000001,0.7000001,0.8,0.8000001},
    {1,2,5,7,7,7.5,8}
  )
)</f>
        <v>1</v>
      </c>
      <c r="J508" s="27">
        <f>IF(J507=0, "",
  LOOKUP(J506/J507,
    {0,0.2000001,0.3500001,0.5000001,0.7000001,0.8,0.8000001},
    {1,2,5,7,7,7.5,8}
  )
)</f>
        <v>7</v>
      </c>
      <c r="K508" s="27">
        <f>IF(K507=0, "",
  LOOKUP(K506/K507,
    {0,0.2000001,0.3500001,0.5000001,0.7000001,0.8,0.8000001},
    {1,2,5,7,7,7.5,8}
  )
)</f>
        <v>1</v>
      </c>
      <c r="L508" s="27">
        <f>IF(L507=0, "",
  LOOKUP(L506/L507,
    {0,0.2000001,0.3500001,0.5000001,0.7000001,0.8,0.8000001},
    {1,2,5,7,7,7.5,8}
  )
)</f>
        <v>1</v>
      </c>
      <c r="M508" s="27"/>
      <c r="N508" s="27">
        <f>AVERAGE(E508:L508)</f>
        <v>2.125</v>
      </c>
      <c r="O508" s="34" t="s">
        <v>207</v>
      </c>
    </row>
    <row r="509" spans="1:15" ht="15" thickBot="1" x14ac:dyDescent="0.4"/>
    <row r="510" spans="1:15" x14ac:dyDescent="0.35">
      <c r="A510" s="15">
        <v>45919</v>
      </c>
      <c r="B510" s="14" t="s">
        <v>167</v>
      </c>
      <c r="C510" s="18"/>
      <c r="D510" s="30" t="s">
        <v>62</v>
      </c>
      <c r="E510" s="19">
        <v>0</v>
      </c>
      <c r="F510" s="19">
        <v>0</v>
      </c>
      <c r="G510" s="19">
        <f>0+0</f>
        <v>0</v>
      </c>
      <c r="H510" s="19">
        <f>0.4+0.5+0+0.2</f>
        <v>1.1000000000000001</v>
      </c>
      <c r="I510" s="19">
        <f>0.2+0.3+0.8+0.1</f>
        <v>1.4000000000000001</v>
      </c>
      <c r="J510" s="19">
        <f>0+0.6+0.6</f>
        <v>1.2</v>
      </c>
      <c r="K510" s="19">
        <f>0.3+0.6+0.5+0.5</f>
        <v>1.9</v>
      </c>
      <c r="L510" s="19">
        <f>0+0.3+0+0</f>
        <v>0.3</v>
      </c>
      <c r="M510" s="19"/>
      <c r="N510" s="18"/>
    </row>
    <row r="511" spans="1:15" x14ac:dyDescent="0.35">
      <c r="A511" s="15">
        <v>45919</v>
      </c>
      <c r="B511" s="14" t="s">
        <v>167</v>
      </c>
      <c r="C511" s="22"/>
      <c r="D511" s="22" t="s">
        <v>57</v>
      </c>
      <c r="E511" s="23">
        <v>1</v>
      </c>
      <c r="F511" s="23">
        <v>1</v>
      </c>
      <c r="G511" s="23">
        <v>2</v>
      </c>
      <c r="H511" s="23">
        <v>4</v>
      </c>
      <c r="I511" s="23">
        <v>4</v>
      </c>
      <c r="J511" s="23">
        <v>3</v>
      </c>
      <c r="K511" s="23">
        <v>4</v>
      </c>
      <c r="L511" s="23">
        <v>4</v>
      </c>
      <c r="M511" s="23"/>
      <c r="N511" s="22"/>
    </row>
    <row r="512" spans="1:15" ht="15" thickBot="1" x14ac:dyDescent="0.4">
      <c r="A512" s="15">
        <v>45919</v>
      </c>
      <c r="B512" s="14" t="s">
        <v>167</v>
      </c>
      <c r="C512" s="26"/>
      <c r="D512" s="26" t="s">
        <v>58</v>
      </c>
      <c r="E512" s="27">
        <f>IF((E510/E511*5)=0,1,IF((E510/E511*5)&lt;=1,1,IF((E510/E511*5)&gt;=3,3,IF((E510/E511*5)=5,3,E510/E511*5))))</f>
        <v>1</v>
      </c>
      <c r="F512" s="27">
        <f>IF((F510/F511*5)=0,1,IF((F510/F511*5)&lt;=1,1,IF((F510/F511*5)&gt;=3,3,IF((F510/F511*5)=5,3,F510/F511*5))))</f>
        <v>1</v>
      </c>
      <c r="G512" s="27">
        <f>IF((G510/G511*5)=0,1,IF((G510/G511*5)&lt;=1,1,IF((G510/G511*5)&gt;=3,3,IF((G510/G511*5)=5,3,G510/G511*5))))</f>
        <v>1</v>
      </c>
      <c r="H512" s="27">
        <f>IF((H510/H511*5)=0,1,IF((H510/H511*5)&lt;=1,1,IF((H510/H511*5)&gt;=3,3,IF((H510/H511*5)=5,3,H510/H511*5))))</f>
        <v>1.375</v>
      </c>
      <c r="I512" s="27">
        <f>IF((I510/I511*5)=0,1,IF((I510/I511*5)&lt;=1,1,IF((I510/I511*5)&gt;=3,3,IF((I510/I511*5)=5,3,I510/I511*5))))</f>
        <v>1.7500000000000002</v>
      </c>
      <c r="J512" s="27">
        <f t="shared" ref="J512:L512" si="94">IF((J510/J511*5)=0,1,IF((J510/J511*5)&lt;=1,1,IF((J510/J511*5)&gt;=3,3,IF((J510/J511*5)=5,3,J510/J511*5))))</f>
        <v>1.9999999999999998</v>
      </c>
      <c r="K512" s="27">
        <f t="shared" si="94"/>
        <v>2.375</v>
      </c>
      <c r="L512" s="27">
        <f t="shared" si="94"/>
        <v>1</v>
      </c>
      <c r="M512" s="27"/>
      <c r="N512" s="27">
        <f>AVERAGE(J512:L512)</f>
        <v>1.7916666666666667</v>
      </c>
      <c r="O512" s="34" t="s">
        <v>141</v>
      </c>
    </row>
    <row r="513" spans="1:15" ht="15" thickBot="1" x14ac:dyDescent="0.4"/>
    <row r="514" spans="1:15" x14ac:dyDescent="0.35">
      <c r="A514" s="15">
        <v>45919</v>
      </c>
      <c r="B514" s="42" t="s">
        <v>240</v>
      </c>
      <c r="C514" s="18"/>
      <c r="D514" s="30" t="s">
        <v>62</v>
      </c>
      <c r="E514" s="19">
        <f>1+1</f>
        <v>2</v>
      </c>
      <c r="F514" s="19">
        <v>1</v>
      </c>
      <c r="G514" s="19">
        <v>1</v>
      </c>
      <c r="H514" s="19">
        <f>0.8+0.8+0.8+0.6</f>
        <v>3.0000000000000004</v>
      </c>
      <c r="I514" s="19">
        <f>0.8+0.7+0.6+0.6</f>
        <v>2.7</v>
      </c>
      <c r="J514" s="19">
        <f>0.8+0.7+0.8</f>
        <v>2.2999999999999998</v>
      </c>
      <c r="K514" s="19">
        <f>0.7+0.4+0.8</f>
        <v>1.9000000000000001</v>
      </c>
      <c r="L514" s="19">
        <f>0.6+0.7+0.3</f>
        <v>1.5999999999999999</v>
      </c>
      <c r="M514" s="19"/>
      <c r="N514" s="18"/>
      <c r="O514" s="18"/>
    </row>
    <row r="515" spans="1:15" x14ac:dyDescent="0.35">
      <c r="A515" s="15">
        <v>45919</v>
      </c>
      <c r="B515" s="42" t="s">
        <v>240</v>
      </c>
      <c r="C515" s="22"/>
      <c r="D515" s="22" t="s">
        <v>57</v>
      </c>
      <c r="E515" s="23">
        <v>2</v>
      </c>
      <c r="F515" s="23">
        <v>2</v>
      </c>
      <c r="G515" s="23">
        <v>1</v>
      </c>
      <c r="H515" s="23">
        <v>4</v>
      </c>
      <c r="I515" s="23">
        <v>4</v>
      </c>
      <c r="J515" s="23">
        <v>3</v>
      </c>
      <c r="K515" s="23">
        <v>3</v>
      </c>
      <c r="L515" s="23">
        <v>3</v>
      </c>
      <c r="M515" s="23"/>
      <c r="N515" s="22"/>
      <c r="O515" s="22"/>
    </row>
    <row r="516" spans="1:15" ht="15" thickBot="1" x14ac:dyDescent="0.4">
      <c r="A516" s="15">
        <v>45919</v>
      </c>
      <c r="B516" s="42" t="s">
        <v>240</v>
      </c>
      <c r="C516" s="26"/>
      <c r="D516" s="26" t="s">
        <v>58</v>
      </c>
      <c r="E516" s="27">
        <f>IF(E515=0, "",
  LOOKUP(E514/E515,
    {0,0.2000001,0.3500001,0.5000001,0.7000001,0.8,0.8000001},
    {1,2,5,7,7,7.5,8}
  )
)</f>
        <v>8</v>
      </c>
      <c r="F516" s="27">
        <f>IF(F515=0, "",
  LOOKUP(F514/F515,
    {0,0.2000001,0.3500001,0.5000001,0.7000001,0.8,0.8000001},
    {1,2,5,7,7,7.5,8}
  )
)</f>
        <v>5</v>
      </c>
      <c r="G516" s="27">
        <f>IF(G515=0, "",
  LOOKUP(G514/G515,
    {0,0.2000001,0.3500001,0.5000001,0.7000001,0.8,0.8000001},
    {1,2,5,7,7,7.5,8}
  )
)</f>
        <v>8</v>
      </c>
      <c r="H516" s="27">
        <f>IF(H515=0, "",
  LOOKUP(H514/H515,
    {0,0.2000001,0.3500001,0.5000001,0.7000001,0.8,0.8000001},
    {1,2,5,7,7,7.5,8}
  )
)</f>
        <v>7</v>
      </c>
      <c r="I516" s="27">
        <f>IF(I515=0, "",
  LOOKUP(I514/I515,
    {0,0.2000001,0.3500001,0.5000001,0.7000001,0.8,0.8000001},
    {1,2,5,7,7,7.5,8}
  )
)</f>
        <v>7</v>
      </c>
      <c r="J516" s="27">
        <f>IF(J515=0, "",
  LOOKUP(J514/J515,
    {0,0.2000001,0.3500001,0.5000001,0.7000001,0.8,0.8000001},
    {1,2,5,7,7,7.5,8}
  )
)</f>
        <v>7</v>
      </c>
      <c r="K516" s="27">
        <f>IF(K515=0, "",
  LOOKUP(K514/K515,
    {0,0.2000001,0.3500001,0.5000001,0.7000001,0.8,0.8000001},
    {1,2,5,7,7,7.5,8}
  )
)</f>
        <v>7</v>
      </c>
      <c r="L516" s="27">
        <f>IF(L515=0, "",
  LOOKUP(L514/L515,
    {0,0.2000001,0.3500001,0.5000001,0.7000001,0.8,0.8000001},
    {1,2,5,7,7,7.5,8}
  )
)</f>
        <v>7</v>
      </c>
      <c r="M516" s="27"/>
      <c r="N516" s="27">
        <f>AVERAGE(E516:L516)</f>
        <v>7</v>
      </c>
      <c r="O516" s="34" t="s">
        <v>183</v>
      </c>
    </row>
    <row r="517" spans="1:15" ht="15" thickBot="1" x14ac:dyDescent="0.4"/>
    <row r="518" spans="1:15" ht="15" thickBot="1" x14ac:dyDescent="0.4">
      <c r="A518" s="17">
        <v>45929</v>
      </c>
      <c r="B518" s="14" t="s">
        <v>249</v>
      </c>
      <c r="C518" s="18"/>
      <c r="D518" s="30" t="s">
        <v>62</v>
      </c>
      <c r="E518" s="19">
        <f>1+0</f>
        <v>1</v>
      </c>
      <c r="F518" s="19">
        <v>1</v>
      </c>
      <c r="G518" s="19">
        <v>0.5</v>
      </c>
      <c r="H518" s="19">
        <f>0.3+0.2+0.4+0.6</f>
        <v>1.5</v>
      </c>
      <c r="I518" s="19">
        <f>0+0.4+0.4+0</f>
        <v>0.8</v>
      </c>
      <c r="J518" s="19">
        <f>0+0.3+0</f>
        <v>0.3</v>
      </c>
      <c r="K518" s="19">
        <f>0+0.6+0.3</f>
        <v>0.89999999999999991</v>
      </c>
      <c r="L518" s="19">
        <f>0.4+0.5+0</f>
        <v>0.9</v>
      </c>
      <c r="M518" s="19"/>
      <c r="N518" s="18"/>
      <c r="O518" s="18"/>
    </row>
    <row r="519" spans="1:15" ht="15" thickBot="1" x14ac:dyDescent="0.4">
      <c r="A519" s="17">
        <v>45929</v>
      </c>
      <c r="B519" s="14" t="s">
        <v>249</v>
      </c>
      <c r="C519" s="22"/>
      <c r="D519" s="22" t="s">
        <v>57</v>
      </c>
      <c r="E519" s="23">
        <v>2</v>
      </c>
      <c r="F519" s="23">
        <v>2</v>
      </c>
      <c r="G519" s="23">
        <v>1</v>
      </c>
      <c r="H519" s="23">
        <v>4</v>
      </c>
      <c r="I519" s="23">
        <v>4</v>
      </c>
      <c r="J519" s="23">
        <v>3</v>
      </c>
      <c r="K519" s="23">
        <v>3</v>
      </c>
      <c r="L519" s="23">
        <v>3</v>
      </c>
      <c r="M519" s="23"/>
      <c r="N519" s="22"/>
      <c r="O519" s="22"/>
    </row>
    <row r="520" spans="1:15" ht="15" thickBot="1" x14ac:dyDescent="0.4">
      <c r="A520" s="17">
        <v>45929</v>
      </c>
      <c r="B520" s="14" t="s">
        <v>249</v>
      </c>
      <c r="C520" s="26"/>
      <c r="D520" s="26" t="s">
        <v>58</v>
      </c>
      <c r="E520" s="27">
        <f>IF(E519=0, "",
  LOOKUP(E518/E519,
    {0,0.2000001,0.3500001,0.5000001,0.7000001,0.8,0.8000001},
    {1,2,5,7,7,7.5,8}
  )
)</f>
        <v>5</v>
      </c>
      <c r="F520" s="27">
        <f>IF(F519=0, "",
  LOOKUP(F518/F519,
    {0,0.2000001,0.3500001,0.5000001,0.7000001,0.8,0.8000001},
    {1,2,5,7,7,7.5,8}
  )
)</f>
        <v>5</v>
      </c>
      <c r="G520" s="27">
        <f>IF(G519=0, "",
  LOOKUP(G518/G519,
    {0,0.2000001,0.3500001,0.5000001,0.7000001,0.8,0.8000001},
    {1,2,5,7,7,7.5,8}
  )
)</f>
        <v>5</v>
      </c>
      <c r="H520" s="27">
        <f>IF(H519=0, "",
  LOOKUP(H518/H519,
    {0,0.2000001,0.3500001,0.5000001,0.7000001,0.8,0.8000001},
    {1,2,5,7,7,7.5,8}
  )
)</f>
        <v>5</v>
      </c>
      <c r="I520" s="27">
        <f>IF(I519=0, "",
  LOOKUP(I518/I519,
    {0,0.2000001,0.3500001,0.5000001,0.7000001,0.8,0.8000001},
    {1,2,5,7,7,7.5,8}
  )
)</f>
        <v>1</v>
      </c>
      <c r="J520" s="27">
        <f>IF(J519=0, "",
  LOOKUP(J518/J519,
    {0,0.2000001,0.3500001,0.5000001,0.7000001,0.8,0.8000001},
    {1,2,5,7,7,7.5,8}
  )
)</f>
        <v>1</v>
      </c>
      <c r="K520" s="27">
        <f>IF(K519=0, "",
  LOOKUP(K518/K519,
    {0,0.2000001,0.3500001,0.5000001,0.7000001,0.8,0.8000001},
    {1,2,5,7,7,7.5,8}
  )
)</f>
        <v>2</v>
      </c>
      <c r="L520" s="27">
        <f>IF(L519=0, "",
  LOOKUP(L518/L519,
    {0,0.2000001,0.3500001,0.5000001,0.7000001,0.8,0.8000001},
    {1,2,5,7,7,7.5,8}
  )
)</f>
        <v>2</v>
      </c>
      <c r="M520" s="27"/>
      <c r="N520" s="27">
        <f>AVERAGE(E520:L520)</f>
        <v>3.25</v>
      </c>
      <c r="O520" s="34" t="s">
        <v>257</v>
      </c>
    </row>
    <row r="521" spans="1:15" ht="15" thickBot="1" x14ac:dyDescent="0.4"/>
    <row r="522" spans="1:15" ht="15" thickBot="1" x14ac:dyDescent="0.4">
      <c r="A522" s="17">
        <v>45930</v>
      </c>
      <c r="B522" s="14" t="s">
        <v>258</v>
      </c>
      <c r="C522" s="18"/>
      <c r="D522" s="30" t="s">
        <v>62</v>
      </c>
      <c r="E522" s="19">
        <f>0+0</f>
        <v>0</v>
      </c>
      <c r="F522" s="19">
        <v>1</v>
      </c>
      <c r="G522" s="19">
        <v>0.5</v>
      </c>
      <c r="H522" s="19">
        <f>0.7+0.6+0.5+0.6</f>
        <v>2.4</v>
      </c>
      <c r="I522" s="19">
        <f>0.5+0.5+0.3+0.7</f>
        <v>2</v>
      </c>
      <c r="J522" s="19">
        <f>0+0.6+0.5</f>
        <v>1.1000000000000001</v>
      </c>
      <c r="K522" s="19">
        <f>0.5+0.6+0.5</f>
        <v>1.6</v>
      </c>
      <c r="L522" s="19">
        <f>0.6+0.6+0.3</f>
        <v>1.5</v>
      </c>
      <c r="M522" s="19"/>
      <c r="N522" s="18"/>
      <c r="O522" s="18"/>
    </row>
    <row r="523" spans="1:15" ht="15" thickBot="1" x14ac:dyDescent="0.4">
      <c r="A523" s="17">
        <v>45930</v>
      </c>
      <c r="B523" s="14" t="s">
        <v>258</v>
      </c>
      <c r="C523" s="22"/>
      <c r="D523" s="22" t="s">
        <v>57</v>
      </c>
      <c r="E523" s="23">
        <v>2</v>
      </c>
      <c r="F523" s="23">
        <v>2</v>
      </c>
      <c r="G523" s="23">
        <v>1</v>
      </c>
      <c r="H523" s="23">
        <v>4</v>
      </c>
      <c r="I523" s="23">
        <v>4</v>
      </c>
      <c r="J523" s="23">
        <v>3</v>
      </c>
      <c r="K523" s="23">
        <v>3</v>
      </c>
      <c r="L523" s="23">
        <v>3</v>
      </c>
      <c r="M523" s="23"/>
      <c r="N523" s="22"/>
      <c r="O523" s="22"/>
    </row>
    <row r="524" spans="1:15" ht="15" thickBot="1" x14ac:dyDescent="0.4">
      <c r="A524" s="17">
        <v>45930</v>
      </c>
      <c r="B524" s="14" t="s">
        <v>258</v>
      </c>
      <c r="C524" s="26"/>
      <c r="D524" s="26" t="s">
        <v>58</v>
      </c>
      <c r="E524" s="27">
        <f>IF(E523=0, "",
  LOOKUP(E522/E523,
    {0,0.2000001,0.3500001,0.5000001,0.7000001,0.8,0.8000001},
    {1,2,5,7,7,7.5,8}
  )
)</f>
        <v>1</v>
      </c>
      <c r="F524" s="27">
        <f>IF(F523=0, "",
  LOOKUP(F522/F523,
    {0,0.2000001,0.3500001,0.5000001,0.7000001,0.8,0.8000001},
    {1,2,5,7,7,7.5,8}
  )
)</f>
        <v>5</v>
      </c>
      <c r="G524" s="27">
        <f>IF(G523=0, "",
  LOOKUP(G522/G523,
    {0,0.2000001,0.3500001,0.5000001,0.7000001,0.8,0.8000001},
    {1,2,5,7,7,7.5,8}
  )
)</f>
        <v>5</v>
      </c>
      <c r="H524" s="27">
        <f>IF(H523=0, "",
  LOOKUP(H522/H523,
    {0,0.2000001,0.3500001,0.5000001,0.7000001,0.8,0.8000001},
    {1,2,5,7,7,7.5,8}
  )
)</f>
        <v>7</v>
      </c>
      <c r="I524" s="27">
        <f>IF(I523=0, "",
  LOOKUP(I522/I523,
    {0,0.2000001,0.3500001,0.5000001,0.7000001,0.8,0.8000001},
    {1,2,5,7,7,7.5,8}
  )
)</f>
        <v>5</v>
      </c>
      <c r="J524" s="27">
        <f>IF(J523=0, "",
  LOOKUP(J522/J523,
    {0,0.2000001,0.3500001,0.5000001,0.7000001,0.8,0.8000001},
    {1,2,5,7,7,7.5,8}
  )
)</f>
        <v>5</v>
      </c>
      <c r="K524" s="27">
        <f>IF(K523=0, "",
  LOOKUP(K522/K523,
    {0,0.2000001,0.3500001,0.5000001,0.7000001,0.8,0.8000001},
    {1,2,5,7,7,7.5,8}
  )
)</f>
        <v>7</v>
      </c>
      <c r="L524" s="27">
        <f>IF(L523=0, "",
  LOOKUP(L522/L523,
    {0,0.2000001,0.3500001,0.5000001,0.7000001,0.8,0.8000001},
    {1,2,5,7,7,7.5,8}
  )
)</f>
        <v>5</v>
      </c>
      <c r="M524" s="27"/>
      <c r="N524" s="27">
        <f>AVERAGE(E524:L524)</f>
        <v>5</v>
      </c>
      <c r="O524" s="34" t="s">
        <v>259</v>
      </c>
    </row>
  </sheetData>
  <autoFilter ref="A1:O516"/>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6"/>
  <sheetViews>
    <sheetView workbookViewId="0">
      <pane ySplit="1" topLeftCell="A18" activePane="bottomLeft" state="frozen"/>
      <selection pane="bottomLeft" activeCell="A27" sqref="A27"/>
    </sheetView>
  </sheetViews>
  <sheetFormatPr defaultRowHeight="14.5" x14ac:dyDescent="0.35"/>
  <cols>
    <col min="1" max="1" width="14.90625" style="5" customWidth="1"/>
    <col min="2" max="2" width="11.90625" style="5" customWidth="1"/>
    <col min="3" max="3" width="18.81640625" style="5" customWidth="1"/>
    <col min="4" max="4" width="11.36328125" style="5" bestFit="1" customWidth="1"/>
    <col min="5" max="5" width="11.08984375" style="5" bestFit="1" customWidth="1"/>
    <col min="6" max="6" width="9.6328125" style="5" customWidth="1"/>
    <col min="7" max="7" width="11.54296875" style="5" customWidth="1"/>
    <col min="8" max="8" width="11.1796875" style="5" customWidth="1"/>
    <col min="9" max="9" width="10.54296875" style="5" customWidth="1"/>
    <col min="10" max="10" width="9.90625" style="5" customWidth="1"/>
    <col min="11" max="11" width="8.453125" style="5" customWidth="1"/>
    <col min="12" max="13" width="12.26953125" style="5" bestFit="1" customWidth="1"/>
    <col min="14" max="16384" width="8.7265625" style="5"/>
  </cols>
  <sheetData>
    <row r="1" spans="1:13" x14ac:dyDescent="0.35">
      <c r="A1" s="1" t="s">
        <v>29</v>
      </c>
      <c r="B1" s="1" t="s">
        <v>30</v>
      </c>
      <c r="C1" s="1" t="s">
        <v>31</v>
      </c>
      <c r="D1" s="1" t="s">
        <v>4</v>
      </c>
      <c r="E1" s="1" t="s">
        <v>2</v>
      </c>
      <c r="F1" s="1" t="s">
        <v>3</v>
      </c>
      <c r="G1" s="1" t="s">
        <v>5</v>
      </c>
      <c r="H1" s="1" t="s">
        <v>6</v>
      </c>
      <c r="I1" s="1" t="s">
        <v>7</v>
      </c>
      <c r="J1" s="1" t="s">
        <v>8</v>
      </c>
      <c r="K1" s="1" t="s">
        <v>9</v>
      </c>
      <c r="L1" s="6" t="s">
        <v>24</v>
      </c>
      <c r="M1" s="1" t="s">
        <v>25</v>
      </c>
    </row>
    <row r="2" spans="1:13" x14ac:dyDescent="0.35">
      <c r="A2" s="1" t="s">
        <v>0</v>
      </c>
      <c r="B2" s="1" t="s">
        <v>1</v>
      </c>
      <c r="C2" s="1">
        <v>8072441294</v>
      </c>
      <c r="D2" s="1" t="s">
        <v>14</v>
      </c>
      <c r="E2" s="1" t="s">
        <v>14</v>
      </c>
      <c r="F2" s="2" t="s">
        <v>10</v>
      </c>
      <c r="G2" s="3" t="s">
        <v>11</v>
      </c>
      <c r="H2" s="3" t="s">
        <v>12</v>
      </c>
      <c r="I2" s="3" t="s">
        <v>13</v>
      </c>
      <c r="J2" s="3" t="s">
        <v>11</v>
      </c>
      <c r="K2" s="3" t="s">
        <v>12</v>
      </c>
      <c r="L2" s="9"/>
      <c r="M2" s="1"/>
    </row>
    <row r="3" spans="1:13" x14ac:dyDescent="0.35">
      <c r="A3" s="1"/>
      <c r="B3" s="1"/>
      <c r="C3" s="1"/>
      <c r="D3" s="1">
        <v>1.5</v>
      </c>
      <c r="E3" s="1">
        <v>1.5</v>
      </c>
      <c r="F3" s="4">
        <v>2.5</v>
      </c>
      <c r="G3" s="3">
        <v>1</v>
      </c>
      <c r="H3" s="3">
        <v>1</v>
      </c>
      <c r="I3" s="3">
        <v>1</v>
      </c>
      <c r="J3" s="3">
        <v>1</v>
      </c>
      <c r="K3" s="3">
        <v>1</v>
      </c>
      <c r="L3" s="9">
        <f>AVERAGE(F3:K3)</f>
        <v>1.25</v>
      </c>
      <c r="M3" s="1"/>
    </row>
    <row r="4" spans="1:13" x14ac:dyDescent="0.35">
      <c r="A4" s="1" t="s">
        <v>15</v>
      </c>
      <c r="B4" s="1" t="s">
        <v>16</v>
      </c>
      <c r="C4" s="1">
        <v>919629006243</v>
      </c>
      <c r="D4" s="1" t="s">
        <v>14</v>
      </c>
      <c r="E4" s="1" t="s">
        <v>14</v>
      </c>
      <c r="F4" s="2" t="s">
        <v>11</v>
      </c>
      <c r="G4" s="3" t="s">
        <v>17</v>
      </c>
      <c r="H4" s="3" t="s">
        <v>18</v>
      </c>
      <c r="I4" s="3" t="s">
        <v>19</v>
      </c>
      <c r="J4" s="7" t="s">
        <v>20</v>
      </c>
      <c r="K4" s="3" t="s">
        <v>18</v>
      </c>
      <c r="L4" s="9"/>
      <c r="M4" s="6" t="s">
        <v>21</v>
      </c>
    </row>
    <row r="5" spans="1:13" x14ac:dyDescent="0.35">
      <c r="A5" s="1"/>
      <c r="B5" s="1"/>
      <c r="C5" s="1"/>
      <c r="D5" s="1">
        <v>2.5</v>
      </c>
      <c r="E5" s="1">
        <v>2.5</v>
      </c>
      <c r="F5" s="4">
        <v>2</v>
      </c>
      <c r="G5" s="3">
        <v>2.5</v>
      </c>
      <c r="H5" s="3">
        <v>3</v>
      </c>
      <c r="I5" s="3">
        <v>3</v>
      </c>
      <c r="J5" s="7">
        <v>2.5</v>
      </c>
      <c r="K5" s="3">
        <v>2.5</v>
      </c>
      <c r="L5" s="9">
        <f>AVERAGE(F5:K5)</f>
        <v>2.5833333333333335</v>
      </c>
      <c r="M5" s="1"/>
    </row>
    <row r="6" spans="1:13" x14ac:dyDescent="0.35">
      <c r="A6" s="1" t="s">
        <v>22</v>
      </c>
      <c r="B6" s="1" t="s">
        <v>23</v>
      </c>
      <c r="C6" s="1">
        <v>916374235936</v>
      </c>
      <c r="D6" s="1"/>
      <c r="E6" s="1"/>
      <c r="F6" s="2" t="s">
        <v>11</v>
      </c>
      <c r="G6" s="3" t="s">
        <v>17</v>
      </c>
      <c r="H6" s="3" t="s">
        <v>12</v>
      </c>
      <c r="I6" s="1" t="s">
        <v>13</v>
      </c>
      <c r="J6" s="7" t="s">
        <v>20</v>
      </c>
      <c r="K6" s="3" t="s">
        <v>12</v>
      </c>
      <c r="L6" s="9"/>
      <c r="M6" s="1"/>
    </row>
    <row r="7" spans="1:13" x14ac:dyDescent="0.35">
      <c r="A7" s="1"/>
      <c r="B7" s="1"/>
      <c r="C7" s="1"/>
      <c r="D7" s="1">
        <v>2</v>
      </c>
      <c r="E7" s="1">
        <v>2</v>
      </c>
      <c r="F7" s="1">
        <v>1</v>
      </c>
      <c r="G7" s="1">
        <v>2.5</v>
      </c>
      <c r="H7" s="1">
        <v>1</v>
      </c>
      <c r="I7" s="1">
        <v>1</v>
      </c>
      <c r="J7" s="1">
        <v>3</v>
      </c>
      <c r="K7" s="1">
        <v>1</v>
      </c>
      <c r="L7" s="9">
        <f>AVERAGE(F7:K7)</f>
        <v>1.5833333333333333</v>
      </c>
      <c r="M7" s="1"/>
    </row>
    <row r="8" spans="1:13" x14ac:dyDescent="0.35">
      <c r="A8" s="1" t="s">
        <v>27</v>
      </c>
      <c r="B8" s="1" t="s">
        <v>28</v>
      </c>
      <c r="C8" s="1">
        <v>919791465839</v>
      </c>
      <c r="D8" s="2" t="s">
        <v>20</v>
      </c>
      <c r="E8" s="3" t="s">
        <v>20</v>
      </c>
      <c r="F8" s="2" t="s">
        <v>19</v>
      </c>
      <c r="G8" s="3" t="s">
        <v>17</v>
      </c>
      <c r="H8" s="3" t="s">
        <v>18</v>
      </c>
      <c r="I8" s="3" t="s">
        <v>19</v>
      </c>
      <c r="J8" s="7" t="s">
        <v>20</v>
      </c>
      <c r="K8" s="2" t="s">
        <v>19</v>
      </c>
      <c r="L8" s="9"/>
      <c r="M8" s="1"/>
    </row>
    <row r="9" spans="1:13" x14ac:dyDescent="0.35">
      <c r="A9" s="1"/>
      <c r="B9" s="1"/>
      <c r="C9" s="1"/>
      <c r="D9" s="8">
        <v>2.5</v>
      </c>
      <c r="E9" s="8">
        <v>2</v>
      </c>
      <c r="F9" s="8">
        <v>3</v>
      </c>
      <c r="G9" s="8">
        <v>2</v>
      </c>
      <c r="H9" s="8">
        <v>3.5</v>
      </c>
      <c r="I9" s="8">
        <v>3.5</v>
      </c>
      <c r="J9" s="8">
        <v>2.5</v>
      </c>
      <c r="K9" s="8">
        <v>3</v>
      </c>
      <c r="L9" s="9">
        <f>AVERAGE(G9:K9)</f>
        <v>2.9</v>
      </c>
      <c r="M9" s="1" t="s">
        <v>26</v>
      </c>
    </row>
    <row r="10" spans="1:13" x14ac:dyDescent="0.35">
      <c r="A10" s="1" t="s">
        <v>33</v>
      </c>
      <c r="B10" s="1" t="s">
        <v>34</v>
      </c>
      <c r="C10" s="1" t="s">
        <v>35</v>
      </c>
      <c r="D10" s="2" t="s">
        <v>18</v>
      </c>
      <c r="E10" s="3" t="s">
        <v>10</v>
      </c>
      <c r="F10" s="2" t="s">
        <v>10</v>
      </c>
      <c r="G10" s="2" t="s">
        <v>36</v>
      </c>
      <c r="H10" s="3" t="s">
        <v>12</v>
      </c>
      <c r="I10" s="3" t="s">
        <v>13</v>
      </c>
      <c r="J10" s="3" t="s">
        <v>17</v>
      </c>
      <c r="K10" s="3" t="s">
        <v>10</v>
      </c>
      <c r="L10" s="9"/>
      <c r="M10" s="1"/>
    </row>
    <row r="11" spans="1:13" x14ac:dyDescent="0.35">
      <c r="A11" s="1"/>
      <c r="B11" s="1"/>
      <c r="C11" s="1"/>
      <c r="D11" s="1">
        <v>2</v>
      </c>
      <c r="E11" s="1">
        <v>1.5</v>
      </c>
      <c r="F11" s="4">
        <v>2</v>
      </c>
      <c r="G11" s="3">
        <v>1.5</v>
      </c>
      <c r="H11" s="3">
        <v>1</v>
      </c>
      <c r="I11" s="3">
        <v>1</v>
      </c>
      <c r="J11" s="3">
        <v>2.5</v>
      </c>
      <c r="K11" s="3">
        <v>2</v>
      </c>
      <c r="L11" s="9">
        <f>AVERAGE(G11:K11)</f>
        <v>1.6</v>
      </c>
      <c r="M11" s="1"/>
    </row>
    <row r="12" spans="1:13" x14ac:dyDescent="0.35">
      <c r="A12" s="5" t="s">
        <v>38</v>
      </c>
      <c r="B12" s="5" t="s">
        <v>39</v>
      </c>
      <c r="D12" s="12" t="s">
        <v>18</v>
      </c>
      <c r="E12" s="12" t="s">
        <v>18</v>
      </c>
      <c r="F12" s="5" t="s">
        <v>12</v>
      </c>
      <c r="G12" s="11" t="s">
        <v>17</v>
      </c>
      <c r="H12" s="3" t="s">
        <v>12</v>
      </c>
      <c r="I12" s="3" t="s">
        <v>13</v>
      </c>
      <c r="J12" s="12" t="s">
        <v>20</v>
      </c>
      <c r="K12" s="5" t="s">
        <v>12</v>
      </c>
    </row>
    <row r="13" spans="1:13" x14ac:dyDescent="0.35">
      <c r="D13" s="5">
        <v>2</v>
      </c>
      <c r="E13" s="5">
        <v>2</v>
      </c>
      <c r="F13" s="5">
        <v>1.5</v>
      </c>
      <c r="G13" s="5">
        <v>2</v>
      </c>
      <c r="H13" s="5">
        <v>1</v>
      </c>
      <c r="I13" s="5">
        <v>1</v>
      </c>
      <c r="J13" s="5">
        <v>2.5</v>
      </c>
      <c r="K13" s="5">
        <v>1</v>
      </c>
      <c r="L13" s="9">
        <f>AVERAGE(G13:K13)</f>
        <v>1.5</v>
      </c>
      <c r="M13" s="5" t="s">
        <v>40</v>
      </c>
    </row>
    <row r="14" spans="1:13" x14ac:dyDescent="0.35">
      <c r="A14" s="5" t="s">
        <v>41</v>
      </c>
      <c r="F14" s="12" t="s">
        <v>13</v>
      </c>
    </row>
    <row r="16" spans="1:13" x14ac:dyDescent="0.35">
      <c r="A16" s="5" t="s">
        <v>42</v>
      </c>
      <c r="D16" s="11" t="s">
        <v>36</v>
      </c>
      <c r="E16" s="5" t="s">
        <v>43</v>
      </c>
      <c r="F16" s="5">
        <v>0</v>
      </c>
      <c r="G16" s="5">
        <v>0</v>
      </c>
      <c r="H16" s="5">
        <v>0</v>
      </c>
      <c r="I16" s="5">
        <v>2</v>
      </c>
      <c r="J16" s="12" t="s">
        <v>44</v>
      </c>
      <c r="K16" s="5">
        <v>0</v>
      </c>
    </row>
    <row r="17" spans="1:13" x14ac:dyDescent="0.35">
      <c r="D17" s="5">
        <v>1</v>
      </c>
      <c r="E17" s="5">
        <v>1</v>
      </c>
      <c r="F17" s="5">
        <v>1</v>
      </c>
      <c r="G17" s="5">
        <v>1</v>
      </c>
      <c r="H17" s="5">
        <v>1</v>
      </c>
      <c r="I17" s="5">
        <v>1.5</v>
      </c>
      <c r="J17" s="5">
        <v>1.5</v>
      </c>
      <c r="K17" s="5">
        <v>1</v>
      </c>
      <c r="L17" s="9">
        <f>AVERAGE(D17:K17)</f>
        <v>1.125</v>
      </c>
      <c r="M17" s="5" t="s">
        <v>54</v>
      </c>
    </row>
    <row r="18" spans="1:13" x14ac:dyDescent="0.35">
      <c r="A18" s="5" t="s">
        <v>45</v>
      </c>
      <c r="B18" s="5" t="s">
        <v>52</v>
      </c>
      <c r="D18" s="12" t="s">
        <v>19</v>
      </c>
      <c r="E18" s="12" t="s">
        <v>10</v>
      </c>
      <c r="F18" s="5">
        <v>0</v>
      </c>
      <c r="G18" s="5">
        <v>0</v>
      </c>
      <c r="H18" s="5">
        <v>0</v>
      </c>
      <c r="I18" s="12" t="s">
        <v>10</v>
      </c>
      <c r="J18" s="12" t="s">
        <v>10</v>
      </c>
      <c r="K18" s="5">
        <v>0</v>
      </c>
      <c r="M18" s="5" t="s">
        <v>46</v>
      </c>
    </row>
    <row r="19" spans="1:13" x14ac:dyDescent="0.35">
      <c r="D19" s="5">
        <v>2</v>
      </c>
      <c r="E19" s="5">
        <v>2</v>
      </c>
      <c r="F19" s="5">
        <v>1</v>
      </c>
      <c r="G19" s="5">
        <v>1</v>
      </c>
      <c r="H19" s="5">
        <v>1</v>
      </c>
      <c r="I19" s="5">
        <v>1.5</v>
      </c>
      <c r="J19" s="5">
        <v>1.5</v>
      </c>
      <c r="K19" s="13">
        <v>1</v>
      </c>
      <c r="L19" s="9">
        <f>AVERAGE(D19:K19)</f>
        <v>1.375</v>
      </c>
      <c r="M19" s="5" t="s">
        <v>46</v>
      </c>
    </row>
    <row r="20" spans="1:13" x14ac:dyDescent="0.35">
      <c r="A20" s="5" t="s">
        <v>47</v>
      </c>
      <c r="D20" s="12" t="s">
        <v>49</v>
      </c>
      <c r="E20" s="12" t="s">
        <v>49</v>
      </c>
      <c r="F20" s="12" t="s">
        <v>36</v>
      </c>
      <c r="G20" s="12" t="s">
        <v>13</v>
      </c>
      <c r="H20" s="5">
        <v>0</v>
      </c>
      <c r="I20" s="5">
        <v>0</v>
      </c>
      <c r="J20" s="12" t="s">
        <v>36</v>
      </c>
      <c r="K20" s="5">
        <v>0</v>
      </c>
      <c r="M20" s="5" t="s">
        <v>50</v>
      </c>
    </row>
    <row r="21" spans="1:13" x14ac:dyDescent="0.35">
      <c r="D21" s="5">
        <v>3</v>
      </c>
      <c r="E21" s="5">
        <v>3</v>
      </c>
      <c r="F21" s="5">
        <v>1</v>
      </c>
      <c r="G21" s="5">
        <v>1</v>
      </c>
      <c r="H21" s="5">
        <v>1</v>
      </c>
      <c r="I21" s="5">
        <v>1</v>
      </c>
      <c r="J21" s="5">
        <v>1.5</v>
      </c>
      <c r="K21" s="5">
        <v>1</v>
      </c>
      <c r="L21" s="9">
        <f>AVERAGE(D21:K21)</f>
        <v>1.5625</v>
      </c>
      <c r="M21" s="5" t="s">
        <v>50</v>
      </c>
    </row>
    <row r="22" spans="1:13" x14ac:dyDescent="0.35">
      <c r="A22" s="5" t="s">
        <v>51</v>
      </c>
      <c r="D22" s="12" t="s">
        <v>48</v>
      </c>
      <c r="E22" s="12" t="s">
        <v>49</v>
      </c>
      <c r="F22" s="12" t="s">
        <v>36</v>
      </c>
      <c r="G22" s="12" t="s">
        <v>36</v>
      </c>
      <c r="H22" s="11" t="s">
        <v>18</v>
      </c>
    </row>
    <row r="23" spans="1:13" x14ac:dyDescent="0.35">
      <c r="D23" s="5">
        <v>2</v>
      </c>
      <c r="E23" s="5">
        <v>2</v>
      </c>
      <c r="F23" s="5">
        <v>1.5</v>
      </c>
      <c r="G23" s="5">
        <v>1.5</v>
      </c>
      <c r="H23" s="5">
        <v>1</v>
      </c>
      <c r="I23" s="5">
        <v>1</v>
      </c>
      <c r="J23" s="5">
        <v>1</v>
      </c>
      <c r="K23" s="13">
        <v>1</v>
      </c>
      <c r="L23" s="9">
        <f>AVERAGE(D23:K23)</f>
        <v>1.375</v>
      </c>
      <c r="M23" s="5" t="s">
        <v>53</v>
      </c>
    </row>
    <row r="25" spans="1:13" x14ac:dyDescent="0.35">
      <c r="A25" s="5" t="s">
        <v>55</v>
      </c>
      <c r="D25" s="12" t="s">
        <v>36</v>
      </c>
      <c r="E25" s="12" t="s">
        <v>36</v>
      </c>
    </row>
    <row r="26" spans="1:13" x14ac:dyDescent="0.35">
      <c r="D26" s="5">
        <v>1</v>
      </c>
      <c r="E26" s="5">
        <v>1</v>
      </c>
    </row>
  </sheetData>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5" x14ac:dyDescent="0.3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5" x14ac:dyDescent="0.35"/>
  <sheetData>
    <row r="1" spans="1:1" x14ac:dyDescent="0.35">
      <c r="A1" s="10" t="s">
        <v>37</v>
      </c>
    </row>
  </sheetData>
  <pageMargins left="0.7" right="0.7" top="0.75" bottom="0.75" header="0.3" footer="0.3"/>
  <pageSetup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6"/>
  <sheetViews>
    <sheetView workbookViewId="0">
      <selection activeCell="A2" sqref="A2"/>
    </sheetView>
  </sheetViews>
  <sheetFormatPr defaultRowHeight="14.5" x14ac:dyDescent="0.35"/>
  <cols>
    <col min="1" max="1" width="17.6328125" customWidth="1"/>
    <col min="2" max="2" width="13.26953125" customWidth="1"/>
  </cols>
  <sheetData>
    <row r="2" spans="1:2" x14ac:dyDescent="0.35">
      <c r="A2" t="s">
        <v>133</v>
      </c>
      <c r="B2" t="s">
        <v>134</v>
      </c>
    </row>
    <row r="3" spans="1:2" x14ac:dyDescent="0.35">
      <c r="A3" t="s">
        <v>136</v>
      </c>
      <c r="B3" t="s">
        <v>135</v>
      </c>
    </row>
    <row r="6" spans="1:2" x14ac:dyDescent="0.35">
      <c r="B6" t="s">
        <v>137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A2" sqref="A2"/>
    </sheetView>
  </sheetViews>
  <sheetFormatPr defaultRowHeight="14.5" x14ac:dyDescent="0.35"/>
  <sheetData>
    <row r="1" spans="1:1" x14ac:dyDescent="0.35">
      <c r="A1" t="s">
        <v>176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Mock_New_File</vt:lpstr>
      <vt:lpstr>Sheet1</vt:lpstr>
      <vt:lpstr>Sheet3</vt:lpstr>
      <vt:lpstr>Sheet4</vt:lpstr>
      <vt:lpstr>Sheet2</vt:lpstr>
      <vt:lpstr>Sheet5</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2024-05-09T10:54:50Z</dcterms:created>
  <dcterms:modified xsi:type="dcterms:W3CDTF">2025-09-30T06:15:17Z</dcterms:modified>
</cp:coreProperties>
</file>